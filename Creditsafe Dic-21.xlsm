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ego\Documents\DevProjects\Armstrong\"/>
    </mc:Choice>
  </mc:AlternateContent>
  <xr:revisionPtr revIDLastSave="0" documentId="13_ncr:1_{CF1AC428-7AC6-4937-A08B-409414DA8A5F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CreditSafe" sheetId="3" r:id="rId1"/>
    <sheet name="Config" sheetId="2" r:id="rId2"/>
    <sheet name="Template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1" l="1"/>
  <c r="G25" i="1" s="1"/>
  <c r="F24" i="1"/>
  <c r="F25" i="1" s="1"/>
  <c r="E24" i="1"/>
  <c r="E25" i="1" s="1"/>
  <c r="D24" i="1"/>
  <c r="C24" i="1"/>
  <c r="F23" i="1"/>
  <c r="C23" i="1"/>
  <c r="G22" i="1"/>
  <c r="G23" i="1" s="1"/>
  <c r="F22" i="1"/>
  <c r="E22" i="1"/>
  <c r="D22" i="1"/>
  <c r="D23" i="1" s="1"/>
  <c r="C22" i="1"/>
  <c r="G21" i="1"/>
  <c r="D21" i="1"/>
  <c r="G20" i="1"/>
  <c r="F20" i="1"/>
  <c r="E20" i="1"/>
  <c r="E21" i="1" s="1"/>
  <c r="D20" i="1"/>
  <c r="D25" i="1" s="1"/>
  <c r="C20" i="1"/>
  <c r="C25" i="1" s="1"/>
  <c r="G19" i="1"/>
  <c r="F19" i="1"/>
  <c r="E19" i="1"/>
  <c r="D19" i="1"/>
  <c r="C19" i="1"/>
  <c r="B19" i="1"/>
  <c r="B18" i="1"/>
  <c r="F21" i="1" l="1"/>
  <c r="E23" i="1"/>
</calcChain>
</file>

<file path=xl/sharedStrings.xml><?xml version="1.0" encoding="utf-8"?>
<sst xmlns="http://schemas.openxmlformats.org/spreadsheetml/2006/main" count="54" uniqueCount="44">
  <si>
    <t>LEARNING TREE INTERNATIONAL LIMITED</t>
  </si>
  <si>
    <t>Profit &amp; Loss</t>
  </si>
  <si>
    <t xml:space="preserve">&lt;--- copy and paste from creditsafe financials tab.  </t>
  </si>
  <si>
    <t>2021-06-30</t>
  </si>
  <si>
    <t>2020-06-30</t>
  </si>
  <si>
    <t>2019-06-30</t>
  </si>
  <si>
    <t>2018-06-30</t>
  </si>
  <si>
    <t>2017-06-30</t>
  </si>
  <si>
    <t>Select down to the 'depreciation' line only.</t>
  </si>
  <si>
    <t>Currency</t>
  </si>
  <si>
    <t>GBP</t>
  </si>
  <si>
    <t>Highlight from the 'Profil &amp; Loss' cell in the top right</t>
  </si>
  <si>
    <t>Consolidated A/Cs</t>
  </si>
  <si>
    <t>No</t>
  </si>
  <si>
    <t>Turnover</t>
  </si>
  <si>
    <t>Export</t>
  </si>
  <si>
    <t>Cost of Sales</t>
  </si>
  <si>
    <t>Gross Profit</t>
  </si>
  <si>
    <t>Wages &amp; Salaries</t>
  </si>
  <si>
    <t>Directors Emoluments</t>
  </si>
  <si>
    <t>Operating Profit</t>
  </si>
  <si>
    <t>Depreciation</t>
  </si>
  <si>
    <t>&lt;----- this populates automatically, just copy and paste into powerpoint</t>
  </si>
  <si>
    <t>Sales</t>
  </si>
  <si>
    <t>% growth</t>
  </si>
  <si>
    <t>% margin</t>
  </si>
  <si>
    <t>EBITDA</t>
  </si>
  <si>
    <t>User Name</t>
  </si>
  <si>
    <t>IDafydd@armstrong-ts.com</t>
  </si>
  <si>
    <t>Password</t>
  </si>
  <si>
    <t>8BoYi4JS5F%VZOTSoUXI</t>
  </si>
  <si>
    <t>Auth URL</t>
  </si>
  <si>
    <t>https://connect.creditsafe.com/v1/authenticate</t>
  </si>
  <si>
    <t>Fin URL</t>
  </si>
  <si>
    <t>https://connect.creditsafe.com/v1/companies</t>
  </si>
  <si>
    <t>Country</t>
  </si>
  <si>
    <t>GB</t>
  </si>
  <si>
    <t>Insert Company Registration Numbers then press button to retrieve Company Info from Creditsafe</t>
  </si>
  <si>
    <t>OC303471</t>
  </si>
  <si>
    <t>07223190</t>
  </si>
  <si>
    <t>OutFIle</t>
  </si>
  <si>
    <t>ExeFile</t>
  </si>
  <si>
    <t>CreditSafe.exe</t>
  </si>
  <si>
    <t>CreditSafe Result.xlsx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</si>
</sst>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£&quot;#,##0_);[Red]\(&quot;£&quot;#,##0\)"/>
    <numFmt numFmtId="165" formatCode="0.0%"/>
    <numFmt numFmtId="166" formatCode="#,##0;[Black]\(#,##0\)"/>
    <numFmt numFmtId="167" formatCode="[Black]&quot;£&quot;* #,##0;[Black]&quot;£&quot;* \(#,##0\);&quot;£&quot;* &quot;-&quot;??_-;_-@_-"/>
    <numFmt numFmtId="168" formatCode="0.0%;[Black]\(0.0%\);_(&quot;-&quot;??_)"/>
  </numFmts>
  <fonts count="37">
    <font>
      <sz val="10"/>
      <name val="Arial"/>
    </font>
    <font>
      <sz val="11"/>
      <color theme="1"/>
      <name val="Calibri"/>
      <family val="2"/>
      <scheme val="minor"/>
    </font>
    <font>
      <sz val="11"/>
      <name val="Tw Cen MT"/>
      <family val="2"/>
    </font>
    <font>
      <sz val="24"/>
      <color rgb="FF474647"/>
      <name val="Arial"/>
      <family val="2"/>
    </font>
    <font>
      <sz val="13.5"/>
      <color rgb="FF474647"/>
      <name val="Arial"/>
      <family val="2"/>
    </font>
    <font>
      <sz val="8"/>
      <color rgb="FF253342"/>
      <name val="Open Sans"/>
      <family val="2"/>
    </font>
    <font>
      <sz val="8"/>
      <color rgb="FF474647"/>
      <name val="Open Sans"/>
      <family val="2"/>
    </font>
    <font>
      <sz val="8"/>
      <color rgb="FF253342"/>
      <name val="Inherit"/>
    </font>
    <font>
      <b/>
      <sz val="8"/>
      <color rgb="FF253342"/>
      <name val="Inherit"/>
    </font>
    <font>
      <sz val="8"/>
      <color rgb="FFEE2E24"/>
      <name val="Open Sans"/>
      <family val="2"/>
    </font>
    <font>
      <sz val="8"/>
      <color rgb="FF4DBB81"/>
      <name val="Open Sans"/>
      <family val="2"/>
    </font>
    <font>
      <b/>
      <sz val="11"/>
      <name val="Tw Cen MT"/>
      <family val="2"/>
    </font>
    <font>
      <sz val="11"/>
      <color rgb="FF000000"/>
      <name val="Tw Cen MT"/>
      <family val="2"/>
    </font>
    <font>
      <i/>
      <sz val="11"/>
      <color rgb="FF000000"/>
      <name val="Tw Cen MT"/>
      <family val="2"/>
    </font>
    <font>
      <i/>
      <sz val="11"/>
      <name val="Tw Cen MT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color theme="1"/>
      <name val="Tw Cen MT"/>
      <family val="2"/>
    </font>
    <font>
      <b/>
      <sz val="12"/>
      <color theme="3"/>
      <name val="Tw Cen MT"/>
      <family val="2"/>
    </font>
    <font>
      <sz val="12"/>
      <color theme="3"/>
      <name val="Tw Cen MT"/>
      <family val="2"/>
    </font>
    <font>
      <b/>
      <sz val="10"/>
      <color theme="0"/>
      <name val="Tw Cen MT"/>
      <family val="2"/>
    </font>
    <font>
      <i/>
      <sz val="10"/>
      <color rgb="FF7F7F7F"/>
      <name val="Tw Cen MT"/>
      <family val="2"/>
    </font>
    <font>
      <b/>
      <sz val="10"/>
      <color rgb="FF3F3F3F"/>
      <name val="Tw Cen MT"/>
      <family val="2"/>
    </font>
    <font>
      <u/>
      <sz val="10"/>
      <color theme="11"/>
      <name val="Tw Cen MT"/>
      <family val="2"/>
    </font>
    <font>
      <u/>
      <sz val="10"/>
      <color theme="10"/>
      <name val="Tw Cen MT"/>
      <family val="2"/>
    </font>
    <font>
      <sz val="10"/>
      <color rgb="FF3F3F76"/>
      <name val="Tw Cen MT"/>
      <family val="2"/>
    </font>
    <font>
      <sz val="10"/>
      <color theme="3"/>
      <name val="Tw Cen MT"/>
      <family val="2"/>
    </font>
    <font>
      <b/>
      <sz val="11"/>
      <color theme="3"/>
      <name val="Tw Cen MT"/>
      <family val="2"/>
    </font>
    <font>
      <sz val="14"/>
      <color theme="3"/>
      <name val="Tw Cen MT"/>
      <family val="2"/>
    </font>
    <font>
      <b/>
      <sz val="10"/>
      <color theme="1"/>
      <name val="Tw Cen MT"/>
      <family val="2"/>
    </font>
    <font>
      <sz val="10"/>
      <color theme="7"/>
      <name val="Tw Cen MT"/>
      <family val="2"/>
    </font>
    <font>
      <sz val="10"/>
      <color theme="4" tint="-0.24994659260841701"/>
      <name val="Tw Cen MT"/>
      <family val="2"/>
    </font>
    <font>
      <sz val="10"/>
      <color theme="6" tint="-0.24994659260841701"/>
      <name val="Tw Cen MT"/>
      <family val="2"/>
    </font>
    <font>
      <b/>
      <sz val="10"/>
      <color theme="2"/>
      <name val="Tw Cen MT"/>
      <family val="2"/>
    </font>
    <font>
      <sz val="11"/>
      <color rgb="FFC00000"/>
      <name val="Tw Cen MT"/>
      <family val="2"/>
    </font>
    <font>
      <sz val="10"/>
      <name val="Tw Cen MT"/>
      <family val="2"/>
    </font>
    <font>
      <b/>
      <sz val="12"/>
      <color rgb="FF000000"/>
      <name val="Tw Cen MT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2ECFF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 style="medium">
        <color rgb="FFE0E0E0"/>
      </top>
      <bottom style="medium">
        <color rgb="FFE0E0E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theme="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theme="6" tint="-0.24994659260841701"/>
      </bottom>
      <diagonal/>
    </border>
  </borders>
  <cellStyleXfs count="24">
    <xf numFmtId="0" fontId="0" fillId="0" borderId="0"/>
    <xf numFmtId="0" fontId="16" fillId="0" borderId="0" applyNumberFormat="0" applyFill="0" applyBorder="0" applyAlignment="0" applyProtection="0"/>
    <xf numFmtId="0" fontId="1" fillId="0" borderId="0"/>
    <xf numFmtId="0" fontId="24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68" fontId="17" fillId="0" borderId="0" applyFill="0" applyBorder="0" applyProtection="0">
      <alignment horizontal="right"/>
    </xf>
    <xf numFmtId="166" fontId="17" fillId="0" borderId="0" applyFill="0" applyBorder="0" applyProtection="0">
      <alignment horizontal="right"/>
    </xf>
    <xf numFmtId="0" fontId="18" fillId="0" borderId="6" applyNumberFormat="0" applyFill="0" applyAlignment="0" applyProtection="0"/>
    <xf numFmtId="0" fontId="26" fillId="0" borderId="8" applyNumberFormat="0" applyFill="0" applyAlignment="0" applyProtection="0"/>
    <xf numFmtId="0" fontId="25" fillId="6" borderId="9" applyNumberFormat="0" applyProtection="0">
      <alignment horizontal="right"/>
    </xf>
    <xf numFmtId="0" fontId="31" fillId="5" borderId="9" applyNumberFormat="0" applyProtection="0">
      <alignment horizontal="right"/>
    </xf>
    <xf numFmtId="0" fontId="28" fillId="0" borderId="0" applyNumberFormat="0" applyFill="0" applyBorder="0" applyAlignment="0" applyProtection="0"/>
    <xf numFmtId="0" fontId="27" fillId="0" borderId="7" applyNumberFormat="0" applyFill="0" applyAlignment="0" applyProtection="0"/>
    <xf numFmtId="0" fontId="23" fillId="0" borderId="0" applyNumberFormat="0" applyFill="0" applyBorder="0" applyAlignment="0" applyProtection="0"/>
    <xf numFmtId="167" fontId="1" fillId="0" borderId="0" applyFont="0" applyFill="0" applyBorder="0" applyProtection="0">
      <alignment horizontal="right"/>
    </xf>
    <xf numFmtId="0" fontId="22" fillId="8" borderId="10" applyNumberFormat="0" applyAlignment="0" applyProtection="0"/>
    <xf numFmtId="0" fontId="32" fillId="0" borderId="17" applyNumberFormat="0" applyFill="0" applyProtection="0">
      <alignment horizontal="right"/>
    </xf>
    <xf numFmtId="0" fontId="20" fillId="9" borderId="11" applyNumberFormat="0" applyProtection="0">
      <alignment horizontal="center"/>
    </xf>
    <xf numFmtId="0" fontId="33" fillId="0" borderId="0" applyNumberFormat="0" applyFill="0" applyBorder="0" applyAlignment="0" applyProtection="0"/>
    <xf numFmtId="0" fontId="17" fillId="7" borderId="12" applyNumberFormat="0" applyAlignment="0" applyProtection="0"/>
    <xf numFmtId="0" fontId="21" fillId="0" borderId="0" applyNumberFormat="0" applyFill="0" applyBorder="0" applyAlignment="0" applyProtection="0"/>
    <xf numFmtId="0" fontId="29" fillId="0" borderId="13" applyNumberFormat="0" applyFill="0" applyAlignment="0" applyProtection="0"/>
    <xf numFmtId="49" fontId="17" fillId="0" borderId="0" applyNumberFormat="0" applyFill="0" applyBorder="0" applyProtection="0">
      <alignment horizontal="left" wrapText="1"/>
    </xf>
    <xf numFmtId="0" fontId="30" fillId="0" borderId="0" applyNumberFormat="0" applyFill="0" applyBorder="0" applyProtection="0">
      <alignment horizontal="left" wrapText="1"/>
    </xf>
  </cellStyleXfs>
  <cellXfs count="35">
    <xf numFmtId="0" fontId="0" fillId="0" borderId="0" xfId="0"/>
    <xf numFmtId="0" fontId="2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 wrapText="1"/>
    </xf>
    <xf numFmtId="14" fontId="5" fillId="2" borderId="1" xfId="0" applyNumberFormat="1" applyFont="1" applyFill="1" applyBorder="1" applyAlignment="1">
      <alignment horizontal="right" vertical="center"/>
    </xf>
    <xf numFmtId="0" fontId="6" fillId="2" borderId="1" xfId="0" applyFont="1" applyFill="1" applyBorder="1" applyAlignment="1">
      <alignment horizontal="right" vertical="center"/>
    </xf>
    <xf numFmtId="0" fontId="2" fillId="0" borderId="0" xfId="0" applyFont="1" applyAlignment="1">
      <alignment horizontal="left" indent="2"/>
    </xf>
    <xf numFmtId="0" fontId="7" fillId="2" borderId="1" xfId="0" applyFont="1" applyFill="1" applyBorder="1" applyAlignment="1">
      <alignment horizontal="right" vertical="center" wrapText="1"/>
    </xf>
    <xf numFmtId="0" fontId="8" fillId="2" borderId="1" xfId="0" applyFont="1" applyFill="1" applyBorder="1" applyAlignment="1">
      <alignment horizontal="left" vertical="center"/>
    </xf>
    <xf numFmtId="10" fontId="9" fillId="2" borderId="1" xfId="0" applyNumberFormat="1" applyFont="1" applyFill="1" applyBorder="1" applyAlignment="1">
      <alignment horizontal="right" vertical="center"/>
    </xf>
    <xf numFmtId="0" fontId="7" fillId="2" borderId="1" xfId="0" applyFont="1" applyFill="1" applyBorder="1" applyAlignment="1">
      <alignment horizontal="left" vertical="center"/>
    </xf>
    <xf numFmtId="10" fontId="10" fillId="2" borderId="1" xfId="0" applyNumberFormat="1" applyFont="1" applyFill="1" applyBorder="1" applyAlignment="1">
      <alignment horizontal="right" vertical="center"/>
    </xf>
    <xf numFmtId="0" fontId="8" fillId="3" borderId="1" xfId="0" applyFont="1" applyFill="1" applyBorder="1" applyAlignment="1">
      <alignment horizontal="left" vertical="center"/>
    </xf>
    <xf numFmtId="10" fontId="10" fillId="3" borderId="1" xfId="0" applyNumberFormat="1" applyFont="1" applyFill="1" applyBorder="1" applyAlignment="1">
      <alignment horizontal="right" vertical="center"/>
    </xf>
    <xf numFmtId="10" fontId="9" fillId="3" borderId="1" xfId="0" applyNumberFormat="1" applyFont="1" applyFill="1" applyBorder="1" applyAlignment="1">
      <alignment horizontal="right" vertical="center"/>
    </xf>
    <xf numFmtId="0" fontId="12" fillId="4" borderId="3" xfId="0" applyFont="1" applyFill="1" applyBorder="1" applyAlignment="1">
      <alignment horizontal="center" vertical="center" wrapText="1" readingOrder="1"/>
    </xf>
    <xf numFmtId="0" fontId="12" fillId="0" borderId="4" xfId="0" applyFont="1" applyBorder="1" applyAlignment="1">
      <alignment horizontal="left" vertical="center" wrapText="1" readingOrder="1"/>
    </xf>
    <xf numFmtId="0" fontId="13" fillId="0" borderId="5" xfId="0" applyFont="1" applyBorder="1" applyAlignment="1">
      <alignment horizontal="left" vertical="center" wrapText="1" readingOrder="1"/>
    </xf>
    <xf numFmtId="0" fontId="2" fillId="0" borderId="5" xfId="0" applyFont="1" applyBorder="1" applyAlignment="1">
      <alignment vertical="center" wrapText="1"/>
    </xf>
    <xf numFmtId="164" fontId="6" fillId="2" borderId="1" xfId="0" applyNumberFormat="1" applyFont="1" applyFill="1" applyBorder="1" applyAlignment="1">
      <alignment horizontal="right" vertical="center"/>
    </xf>
    <xf numFmtId="164" fontId="6" fillId="3" borderId="1" xfId="0" applyNumberFormat="1" applyFont="1" applyFill="1" applyBorder="1" applyAlignment="1">
      <alignment horizontal="right" vertical="center"/>
    </xf>
    <xf numFmtId="164" fontId="2" fillId="0" borderId="4" xfId="0" applyNumberFormat="1" applyFont="1" applyBorder="1" applyAlignment="1">
      <alignment vertical="center" wrapText="1"/>
    </xf>
    <xf numFmtId="165" fontId="14" fillId="0" borderId="5" xfId="0" applyNumberFormat="1" applyFont="1" applyBorder="1" applyAlignment="1">
      <alignment vertical="center" wrapText="1"/>
    </xf>
    <xf numFmtId="0" fontId="11" fillId="0" borderId="0" xfId="0" applyFont="1" applyAlignment="1">
      <alignment horizontal="right" vertical="center"/>
    </xf>
    <xf numFmtId="0" fontId="15" fillId="0" borderId="0" xfId="0" applyFont="1"/>
    <xf numFmtId="0" fontId="16" fillId="0" borderId="0" xfId="1"/>
    <xf numFmtId="0" fontId="0" fillId="0" borderId="0" xfId="0" applyAlignment="1">
      <alignment horizontal="left"/>
    </xf>
    <xf numFmtId="164" fontId="2" fillId="0" borderId="0" xfId="0" applyNumberFormat="1" applyFont="1"/>
    <xf numFmtId="0" fontId="34" fillId="10" borderId="0" xfId="4" applyFont="1" applyFill="1" applyAlignment="1">
      <alignment horizontal="left" vertical="top"/>
    </xf>
    <xf numFmtId="49" fontId="35" fillId="6" borderId="14" xfId="0" quotePrefix="1" applyNumberFormat="1" applyFont="1" applyFill="1" applyBorder="1" applyAlignment="1">
      <alignment horizontal="left"/>
    </xf>
    <xf numFmtId="49" fontId="35" fillId="6" borderId="15" xfId="0" applyNumberFormat="1" applyFont="1" applyFill="1" applyBorder="1" applyAlignment="1">
      <alignment horizontal="left"/>
    </xf>
    <xf numFmtId="49" fontId="35" fillId="6" borderId="16" xfId="0" applyNumberFormat="1" applyFont="1" applyFill="1" applyBorder="1" applyAlignment="1">
      <alignment horizontal="left"/>
    </xf>
    <xf numFmtId="0" fontId="34" fillId="10" borderId="0" xfId="4" applyFont="1" applyFill="1" applyAlignment="1">
      <alignment horizontal="left" vertical="top" wrapText="1"/>
    </xf>
    <xf numFmtId="0" fontId="11" fillId="0" borderId="2" xfId="0" applyFont="1" applyBorder="1" applyAlignment="1">
      <alignment horizontal="center" vertical="center"/>
    </xf>
    <xf numFmtId="0" fontId="0" fillId="0" borderId="2" xfId="0" applyBorder="1"/>
  </cellXfs>
  <cellStyles count="24">
    <cellStyle name="Calculation 2" xfId="10" xr:uid="{12C0B165-3182-48D3-9AA9-B64CCD3C131F}"/>
    <cellStyle name="Check Cell 2" xfId="17" xr:uid="{9FE872E7-84F8-432C-B5D0-7CBADD2EF46F}"/>
    <cellStyle name="Comma 2" xfId="6" xr:uid="{28942296-C936-45E6-84CD-031AF511D234}"/>
    <cellStyle name="Currency 2" xfId="14" xr:uid="{F5A39691-35B0-4A0C-B29F-3DF650FBDC27}"/>
    <cellStyle name="Explanatory Text 2" xfId="20" xr:uid="{0000033F-C0FA-4CF2-8284-EB5A6E46F272}"/>
    <cellStyle name="Followed Hyperlink 2" xfId="13" xr:uid="{35AF77CF-A267-4B0F-8C89-10C868C83FDD}"/>
    <cellStyle name="Heading 1 2" xfId="7" xr:uid="{FDD92308-BF78-491A-816A-8DBD61A28BB7}"/>
    <cellStyle name="Heading 2 2" xfId="12" xr:uid="{4C4ECD02-0588-4954-94E6-58860B9B5E01}"/>
    <cellStyle name="Heading 3 2" xfId="8" xr:uid="{D8521DFA-224A-45AA-8D76-0265F3B5DB5C}"/>
    <cellStyle name="Heading 4 2" xfId="4" xr:uid="{488890D0-1E15-471E-84CD-EC7399D56229}"/>
    <cellStyle name="Hyperlink" xfId="1" builtinId="8"/>
    <cellStyle name="Hyperlink 2" xfId="3" xr:uid="{5DE63ED0-4B87-438A-A531-982F98D55DF4}"/>
    <cellStyle name="Input 2" xfId="9" xr:uid="{C0521EE8-7784-4E54-AAEC-B826456AAAAC}"/>
    <cellStyle name="Linked Cell 2" xfId="16" xr:uid="{98947DD9-932A-4351-A633-261987780488}"/>
    <cellStyle name="Normal" xfId="0" builtinId="0"/>
    <cellStyle name="Normal 2" xfId="2" xr:uid="{E2F26028-9284-4F0F-BECF-9AC014FD71DC}"/>
    <cellStyle name="Note 2" xfId="19" xr:uid="{2EF8EFEA-432A-43F4-90E4-F3ADAE17B525}"/>
    <cellStyle name="Output 2" xfId="15" xr:uid="{CCEBA0AC-07A0-49F3-A5A8-9AD831BB9F67}"/>
    <cellStyle name="Percent 2" xfId="5" xr:uid="{2DFFC41E-7AEB-4AF7-AC1D-633F35916BFA}"/>
    <cellStyle name="Table Row Title" xfId="23" xr:uid="{0C838DBA-FA80-4333-8D91-1856100070BA}"/>
    <cellStyle name="Text" xfId="22" xr:uid="{4D7355A9-B551-4DAC-8080-3799CB4D4361}"/>
    <cellStyle name="Title 2" xfId="11" xr:uid="{264B7119-9914-4F17-8C5C-AEE3ECCD3F14}"/>
    <cellStyle name="Total 2" xfId="21" xr:uid="{F3A2D9A2-AAD5-45E8-A9AC-9F3F1AC753DA}"/>
    <cellStyle name="Warning Text 2" xfId="18" xr:uid="{975A86BC-AC68-43D9-87FA-91891CE8332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</xdr:row>
          <xdr:rowOff>152400</xdr:rowOff>
        </xdr:from>
        <xdr:to>
          <xdr:col>2</xdr:col>
          <xdr:colOff>1438275</xdr:colOff>
          <xdr:row>6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Tw Cen MT"/>
                </a:rPr>
                <a:t>Retrieve Company Info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19050</xdr:colOff>
      <xdr:row>0</xdr:row>
      <xdr:rowOff>44450</xdr:rowOff>
    </xdr:from>
    <xdr:to>
      <xdr:col>6</xdr:col>
      <xdr:colOff>95250</xdr:colOff>
      <xdr:row>1</xdr:row>
      <xdr:rowOff>127000</xdr:rowOff>
    </xdr:to>
    <xdr:pic>
      <xdr:nvPicPr>
        <xdr:cNvPr id="3" name="Picture 2" descr="Armstrong Transaction Services Company Profile: Service Breakdown &amp;amp; Team |  PitchBoo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667" b="34666"/>
        <a:stretch/>
      </xdr:blipFill>
      <xdr:spPr bwMode="auto">
        <a:xfrm>
          <a:off x="3454400" y="44450"/>
          <a:ext cx="190500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142875</xdr:rowOff>
        </xdr:from>
        <xdr:to>
          <xdr:col>2</xdr:col>
          <xdr:colOff>1438275</xdr:colOff>
          <xdr:row>11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Tw Cen MT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connect.creditsafe.com/v1/companies" TargetMode="External"/><Relationship Id="rId2" Type="http://schemas.openxmlformats.org/officeDocument/2006/relationships/hyperlink" Target="https://connect.creditsafe.com/v1/authenticate" TargetMode="External"/><Relationship Id="rId1" Type="http://schemas.openxmlformats.org/officeDocument/2006/relationships/hyperlink" Target="mailto:IDafydd@armstrong-t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1528A-4A0E-4ACD-816D-62296AA0A431}">
  <sheetPr codeName="Sheet2">
    <tabColor theme="9" tint="0.39997558519241921"/>
  </sheetPr>
  <dimension ref="A1:C25"/>
  <sheetViews>
    <sheetView showGridLines="0" workbookViewId="0">
      <selection activeCell="F10" sqref="F10"/>
    </sheetView>
  </sheetViews>
  <sheetFormatPr defaultRowHeight="12.75"/>
  <cols>
    <col min="1" max="1" width="8.42578125" customWidth="1"/>
    <col min="2" max="2" width="18.140625" style="26" customWidth="1"/>
    <col min="3" max="3" width="22.5703125" customWidth="1"/>
  </cols>
  <sheetData>
    <row r="1" spans="1:3" ht="39.6" customHeight="1">
      <c r="A1" s="32" t="s">
        <v>37</v>
      </c>
      <c r="B1" s="32"/>
      <c r="C1" s="32"/>
    </row>
    <row r="3" spans="1:3" ht="14.25">
      <c r="A3" s="28"/>
      <c r="B3" s="29" t="s">
        <v>39</v>
      </c>
    </row>
    <row r="4" spans="1:3">
      <c r="B4" s="30" t="s">
        <v>38</v>
      </c>
    </row>
    <row r="5" spans="1:3">
      <c r="B5" s="30"/>
    </row>
    <row r="6" spans="1:3">
      <c r="B6" s="30"/>
    </row>
    <row r="7" spans="1:3">
      <c r="B7" s="30"/>
    </row>
    <row r="8" spans="1:3">
      <c r="B8" s="30"/>
    </row>
    <row r="9" spans="1:3">
      <c r="B9" s="30"/>
    </row>
    <row r="10" spans="1:3">
      <c r="B10" s="30"/>
    </row>
    <row r="11" spans="1:3">
      <c r="B11" s="30"/>
    </row>
    <row r="12" spans="1:3">
      <c r="B12" s="30"/>
    </row>
    <row r="13" spans="1:3">
      <c r="B13" s="30"/>
    </row>
    <row r="14" spans="1:3">
      <c r="B14" s="30"/>
    </row>
    <row r="15" spans="1:3">
      <c r="B15" s="30"/>
    </row>
    <row r="16" spans="1:3">
      <c r="B16" s="30"/>
    </row>
    <row r="17" spans="2:2">
      <c r="B17" s="30"/>
    </row>
    <row r="18" spans="2:2">
      <c r="B18" s="30"/>
    </row>
    <row r="19" spans="2:2">
      <c r="B19" s="30"/>
    </row>
    <row r="20" spans="2:2">
      <c r="B20" s="30"/>
    </row>
    <row r="21" spans="2:2">
      <c r="B21" s="30"/>
    </row>
    <row r="22" spans="2:2">
      <c r="B22" s="30"/>
    </row>
    <row r="23" spans="2:2">
      <c r="B23" s="30"/>
    </row>
    <row r="24" spans="2:2">
      <c r="B24" s="30"/>
    </row>
    <row r="25" spans="2:2">
      <c r="B25" s="31"/>
    </row>
  </sheetData>
  <mergeCells count="1">
    <mergeCell ref="A1:C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85725</xdr:colOff>
                    <xdr:row>1</xdr:row>
                    <xdr:rowOff>152400</xdr:rowOff>
                  </from>
                  <to>
                    <xdr:col>2</xdr:col>
                    <xdr:colOff>1438275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utton3_Click">
                <anchor moveWithCells="1" sizeWithCells="1">
                  <from>
                    <xdr:col>2</xdr:col>
                    <xdr:colOff>85725</xdr:colOff>
                    <xdr:row>6</xdr:row>
                    <xdr:rowOff>142875</xdr:rowOff>
                  </from>
                  <to>
                    <xdr:col>2</xdr:col>
                    <xdr:colOff>1438275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84D56-59BF-452E-8AD6-2728CF0465CC}">
  <sheetPr codeName="Sheet3">
    <tabColor theme="0" tint="-0.499984740745262"/>
  </sheetPr>
  <dimension ref="B2:C11"/>
  <sheetViews>
    <sheetView tabSelected="1" workbookViewId="0">
      <selection activeCell="C12" sqref="C12"/>
    </sheetView>
  </sheetViews>
  <sheetFormatPr defaultRowHeight="12.75"/>
  <cols>
    <col min="2" max="2" width="12" customWidth="1"/>
  </cols>
  <sheetData>
    <row r="2" spans="2:3">
      <c r="B2" s="24" t="s">
        <v>27</v>
      </c>
      <c r="C2" s="25" t="s">
        <v>28</v>
      </c>
    </row>
    <row r="3" spans="2:3">
      <c r="B3" s="24" t="s">
        <v>29</v>
      </c>
      <c r="C3" s="24" t="s">
        <v>30</v>
      </c>
    </row>
    <row r="5" spans="2:3">
      <c r="B5" s="24" t="s">
        <v>31</v>
      </c>
      <c r="C5" s="25" t="s">
        <v>32</v>
      </c>
    </row>
    <row r="6" spans="2:3">
      <c r="B6" s="24" t="s">
        <v>33</v>
      </c>
      <c r="C6" s="25" t="s">
        <v>34</v>
      </c>
    </row>
    <row r="8" spans="2:3">
      <c r="B8" s="24" t="s">
        <v>35</v>
      </c>
      <c r="C8" s="24" t="s">
        <v>36</v>
      </c>
    </row>
    <row r="10" spans="2:3">
      <c r="B10" s="24" t="s">
        <v>41</v>
      </c>
      <c r="C10" s="24" t="s">
        <v>42</v>
      </c>
    </row>
    <row r="11" spans="2:3">
      <c r="B11" s="24" t="s">
        <v>40</v>
      </c>
      <c r="C11" s="24" t="s">
        <v>43</v>
      </c>
    </row>
  </sheetData>
  <hyperlinks>
    <hyperlink ref="C2" r:id="rId1" xr:uid="{5501DC3D-E7A8-4065-B6D8-63802CADC514}"/>
    <hyperlink ref="C5" r:id="rId2" xr:uid="{6CA29622-7B15-4462-84A1-14BB1175F58C}"/>
    <hyperlink ref="C6" r:id="rId3" xr:uid="{6B9729D4-E908-45AC-BBC0-3ED2D05C619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499984740745262"/>
  </sheetPr>
  <dimension ref="A1:L25"/>
  <sheetViews>
    <sheetView showGridLines="0" zoomScale="85" zoomScaleNormal="85" workbookViewId="0">
      <selection activeCell="L10" sqref="L10"/>
    </sheetView>
  </sheetViews>
  <sheetFormatPr defaultColWidth="11.5703125" defaultRowHeight="14.25"/>
  <cols>
    <col min="1" max="1" width="22.42578125" style="1" customWidth="1"/>
    <col min="2" max="2" width="25.140625" style="1" bestFit="1" customWidth="1"/>
    <col min="3" max="7" width="14.85546875" style="1" customWidth="1"/>
    <col min="8" max="8" width="12.42578125" style="1" bestFit="1" customWidth="1"/>
    <col min="9" max="9" width="7.5703125" style="1" bestFit="1" customWidth="1"/>
    <col min="10" max="10" width="12.42578125" style="1" bestFit="1" customWidth="1"/>
    <col min="11" max="11" width="11.5703125" style="1" customWidth="1"/>
    <col min="12" max="16384" width="11.5703125" style="1"/>
  </cols>
  <sheetData>
    <row r="1" spans="1:12" ht="29.45" customHeight="1">
      <c r="B1" s="2" t="s">
        <v>0</v>
      </c>
      <c r="I1" s="23"/>
      <c r="J1" s="23"/>
    </row>
    <row r="2" spans="1:12" ht="7.35" customHeight="1"/>
    <row r="3" spans="1:12" ht="35.450000000000003" customHeight="1" thickBot="1">
      <c r="A3" s="3" t="s">
        <v>1</v>
      </c>
      <c r="L3" s="1" t="s">
        <v>2</v>
      </c>
    </row>
    <row r="4" spans="1:12" ht="14.45" customHeight="1" thickBot="1">
      <c r="A4" s="4"/>
      <c r="B4" s="4" t="s">
        <v>3</v>
      </c>
      <c r="C4" s="5"/>
      <c r="D4" s="4" t="s">
        <v>4</v>
      </c>
      <c r="E4" s="5"/>
      <c r="F4" s="4" t="s">
        <v>5</v>
      </c>
      <c r="G4" s="5"/>
      <c r="H4" s="4" t="s">
        <v>6</v>
      </c>
      <c r="I4" s="5"/>
      <c r="J4" s="4" t="s">
        <v>7</v>
      </c>
      <c r="L4" s="6" t="s">
        <v>8</v>
      </c>
    </row>
    <row r="5" spans="1:12" ht="14.45" customHeight="1" thickBot="1">
      <c r="A5" s="7" t="s">
        <v>9</v>
      </c>
      <c r="B5" s="5" t="s">
        <v>10</v>
      </c>
      <c r="C5" s="5"/>
      <c r="D5" s="5" t="s">
        <v>10</v>
      </c>
      <c r="E5" s="5"/>
      <c r="F5" s="5" t="s">
        <v>10</v>
      </c>
      <c r="G5" s="5"/>
      <c r="H5" s="5" t="s">
        <v>10</v>
      </c>
      <c r="I5" s="5"/>
      <c r="J5" s="5" t="s">
        <v>10</v>
      </c>
      <c r="L5" s="6" t="s">
        <v>11</v>
      </c>
    </row>
    <row r="6" spans="1:12" ht="14.45" customHeight="1" thickBot="1">
      <c r="A6" s="7" t="s">
        <v>12</v>
      </c>
      <c r="B6" s="5" t="s">
        <v>13</v>
      </c>
      <c r="C6" s="5"/>
      <c r="D6" s="5" t="s">
        <v>13</v>
      </c>
      <c r="E6" s="5"/>
      <c r="F6" s="5" t="s">
        <v>13</v>
      </c>
      <c r="G6" s="5"/>
      <c r="H6" s="5" t="s">
        <v>13</v>
      </c>
      <c r="I6" s="5"/>
      <c r="J6" s="5" t="s">
        <v>13</v>
      </c>
    </row>
    <row r="7" spans="1:12" ht="27" customHeight="1" thickBot="1">
      <c r="A7" s="8" t="s">
        <v>14</v>
      </c>
      <c r="B7" s="19">
        <v>9237000</v>
      </c>
      <c r="C7" s="9">
        <v>6.8000000000000005E-2</v>
      </c>
      <c r="D7" s="19">
        <v>9908000</v>
      </c>
      <c r="E7" s="9">
        <v>0.113</v>
      </c>
      <c r="F7" s="19">
        <v>11170000</v>
      </c>
      <c r="G7" s="9">
        <v>3.6999999999999998E-2</v>
      </c>
      <c r="H7" s="19">
        <v>11599000</v>
      </c>
      <c r="I7" s="9">
        <v>3.6999999999999998E-2</v>
      </c>
      <c r="J7" s="19">
        <v>12047000</v>
      </c>
    </row>
    <row r="8" spans="1:12" ht="14.45" customHeight="1" thickBot="1">
      <c r="A8" s="10" t="s">
        <v>15</v>
      </c>
      <c r="B8" s="19">
        <v>3348000</v>
      </c>
      <c r="C8" s="9">
        <v>9.2999999999999999E-2</v>
      </c>
      <c r="D8" s="19">
        <v>3690000</v>
      </c>
      <c r="E8" s="11">
        <v>5.2999999999999999E-2</v>
      </c>
      <c r="F8" s="19">
        <v>3503000</v>
      </c>
      <c r="G8" s="11">
        <v>0.59399999999999997</v>
      </c>
      <c r="H8" s="19">
        <v>2198000</v>
      </c>
      <c r="I8" s="11">
        <v>0.46899999999999997</v>
      </c>
      <c r="J8" s="19">
        <v>1496000</v>
      </c>
    </row>
    <row r="9" spans="1:12" ht="14.45" customHeight="1" thickBot="1">
      <c r="A9" s="10" t="s">
        <v>16</v>
      </c>
      <c r="B9" s="19">
        <v>6701000</v>
      </c>
      <c r="C9" s="11">
        <v>1.2999999999999999E-2</v>
      </c>
      <c r="D9" s="19">
        <v>6617000</v>
      </c>
      <c r="E9" s="9">
        <v>7.6999999999999999E-2</v>
      </c>
      <c r="F9" s="19">
        <v>7169000</v>
      </c>
      <c r="G9" s="9">
        <v>0.11</v>
      </c>
      <c r="H9" s="19">
        <v>8052000</v>
      </c>
      <c r="I9" s="11">
        <v>1.0999999999999999E-2</v>
      </c>
      <c r="J9" s="19">
        <v>7963000</v>
      </c>
      <c r="L9" s="27"/>
    </row>
    <row r="10" spans="1:12" ht="14.45" customHeight="1" thickBot="1">
      <c r="A10" s="10" t="s">
        <v>17</v>
      </c>
      <c r="B10" s="19">
        <v>2536000</v>
      </c>
      <c r="C10" s="9">
        <v>0.22900000000000001</v>
      </c>
      <c r="D10" s="19">
        <v>3291000</v>
      </c>
      <c r="E10" s="9">
        <v>0.17699999999999999</v>
      </c>
      <c r="F10" s="19">
        <v>4001000</v>
      </c>
      <c r="G10" s="11">
        <v>0.128</v>
      </c>
      <c r="H10" s="19">
        <v>3547000</v>
      </c>
      <c r="I10" s="9">
        <v>0.13100000000000001</v>
      </c>
      <c r="J10" s="19">
        <v>4084000</v>
      </c>
      <c r="L10" s="27"/>
    </row>
    <row r="11" spans="1:12" ht="19.350000000000001" customHeight="1" thickBot="1">
      <c r="A11" s="10" t="s">
        <v>18</v>
      </c>
      <c r="B11" s="19">
        <v>2110000</v>
      </c>
      <c r="C11" s="9">
        <v>0.23400000000000001</v>
      </c>
      <c r="D11" s="19">
        <v>2753000</v>
      </c>
      <c r="E11" s="9">
        <v>3.7999999999999999E-2</v>
      </c>
      <c r="F11" s="19">
        <v>2862000</v>
      </c>
      <c r="G11" s="11">
        <v>1.0999999999999999E-2</v>
      </c>
      <c r="H11" s="19">
        <v>2831000</v>
      </c>
      <c r="I11" s="11">
        <v>1.4E-2</v>
      </c>
      <c r="J11" s="19">
        <v>2791000</v>
      </c>
    </row>
    <row r="12" spans="1:12" ht="14.45" customHeight="1" thickBot="1">
      <c r="A12" s="10" t="s">
        <v>19</v>
      </c>
      <c r="B12" s="19">
        <v>117000</v>
      </c>
      <c r="C12" s="9">
        <v>0.44</v>
      </c>
      <c r="D12" s="19">
        <v>209000</v>
      </c>
      <c r="E12" s="9">
        <v>0.32100000000000001</v>
      </c>
      <c r="F12" s="19">
        <v>308000</v>
      </c>
      <c r="G12" s="11">
        <v>7.0000000000000001E-3</v>
      </c>
      <c r="H12" s="19">
        <v>306000</v>
      </c>
      <c r="I12" s="11">
        <v>2.7E-2</v>
      </c>
      <c r="J12" s="19">
        <v>298000</v>
      </c>
    </row>
    <row r="13" spans="1:12" ht="14.45" customHeight="1" thickBot="1">
      <c r="A13" s="12" t="s">
        <v>20</v>
      </c>
      <c r="B13" s="20">
        <v>-188000</v>
      </c>
      <c r="C13" s="13">
        <v>0.66100000000000003</v>
      </c>
      <c r="D13" s="20">
        <v>-554000</v>
      </c>
      <c r="E13" s="14">
        <v>1.978</v>
      </c>
      <c r="F13" s="20">
        <v>-186000</v>
      </c>
      <c r="G13" s="13">
        <v>0.52900000000000003</v>
      </c>
      <c r="H13" s="20">
        <v>-395000</v>
      </c>
      <c r="I13" s="13">
        <v>0.14899999999999999</v>
      </c>
      <c r="J13" s="20">
        <v>-464000</v>
      </c>
    </row>
    <row r="14" spans="1:12" ht="14.45" customHeight="1" thickBot="1">
      <c r="A14" s="10" t="s">
        <v>21</v>
      </c>
      <c r="B14" s="19">
        <v>56806</v>
      </c>
      <c r="C14" s="9">
        <v>0.34</v>
      </c>
      <c r="D14" s="19">
        <v>61172</v>
      </c>
      <c r="E14" s="9">
        <v>0.314</v>
      </c>
      <c r="F14" s="19">
        <v>58486</v>
      </c>
      <c r="G14" s="9">
        <v>0.38900000000000001</v>
      </c>
      <c r="H14" s="19">
        <v>55483</v>
      </c>
      <c r="I14" s="11">
        <v>0.32700000000000001</v>
      </c>
      <c r="J14" s="19">
        <v>44059</v>
      </c>
    </row>
    <row r="15" spans="1:12" ht="14.45" customHeight="1" thickBot="1">
      <c r="A15" s="10"/>
      <c r="B15" s="19"/>
      <c r="C15" s="9"/>
      <c r="D15" s="19"/>
      <c r="E15" s="11"/>
      <c r="F15" s="19"/>
      <c r="G15" s="11"/>
      <c r="H15" s="19"/>
      <c r="I15" s="9"/>
      <c r="J15" s="19"/>
    </row>
    <row r="17" spans="2:12" ht="7.35" customHeight="1"/>
    <row r="18" spans="2:12" ht="23.1" customHeight="1" thickBot="1">
      <c r="B18" s="33" t="str">
        <f>PROPER(B1)</f>
        <v>Learning Tree International Limited</v>
      </c>
      <c r="C18" s="34"/>
      <c r="D18" s="34"/>
      <c r="E18" s="34"/>
      <c r="F18" s="34"/>
      <c r="G18" s="34"/>
    </row>
    <row r="19" spans="2:12" ht="14.45" customHeight="1" thickBot="1">
      <c r="B19" s="15" t="str">
        <f>IFERROR("FYE "&amp;DAY(B4)&amp;"/"&amp;MONTH(B4)&amp;" (£k)","n/a")</f>
        <v>FYE 30/6 (£k)</v>
      </c>
      <c r="C19" s="15">
        <f>IFERROR(YEAR(J4),"n/a")</f>
        <v>2017</v>
      </c>
      <c r="D19" s="15">
        <f>IFERROR(YEAR(H4),"n/a")</f>
        <v>2018</v>
      </c>
      <c r="E19" s="15">
        <f>IFERROR(YEAR(F4),"n/a")</f>
        <v>2019</v>
      </c>
      <c r="F19" s="15">
        <f>IFERROR(YEAR(D4),"n/a")</f>
        <v>2020</v>
      </c>
      <c r="G19" s="15">
        <f>IFERROR(YEAR(B4),"n/a")</f>
        <v>2021</v>
      </c>
      <c r="L19" s="1" t="s">
        <v>22</v>
      </c>
    </row>
    <row r="20" spans="2:12" ht="14.45" customHeight="1" thickBot="1">
      <c r="B20" s="16" t="s">
        <v>23</v>
      </c>
      <c r="C20" s="21">
        <f>IFERROR(J7/1000,"n/a")</f>
        <v>12047</v>
      </c>
      <c r="D20" s="21">
        <f>IFERROR(H7/1000,"n/a")</f>
        <v>11599</v>
      </c>
      <c r="E20" s="21">
        <f>IFERROR(F7/1000,"n/a")</f>
        <v>11170</v>
      </c>
      <c r="F20" s="21">
        <f>IFERROR(D7/1000,"n/a")</f>
        <v>9908</v>
      </c>
      <c r="G20" s="21">
        <f>IFERROR(B7/1000,"n/a")</f>
        <v>9237</v>
      </c>
    </row>
    <row r="21" spans="2:12" ht="14.45" customHeight="1" thickBot="1">
      <c r="B21" s="17" t="s">
        <v>24</v>
      </c>
      <c r="C21" s="18"/>
      <c r="D21" s="22">
        <f>IFERROR(D20/C20-1,"n/a")</f>
        <v>-3.7187681580476473E-2</v>
      </c>
      <c r="E21" s="22">
        <f>IFERROR(E20/D20-1,"n/a")</f>
        <v>-3.6985947064402058E-2</v>
      </c>
      <c r="F21" s="22">
        <f>IFERROR(F20/E20-1,"n/a")</f>
        <v>-0.1129811996418979</v>
      </c>
      <c r="G21" s="22">
        <f>IFERROR(G20/F20-1,"n/a")</f>
        <v>-6.7723052079127988E-2</v>
      </c>
    </row>
    <row r="22" spans="2:12" ht="14.45" customHeight="1" thickBot="1">
      <c r="B22" s="16" t="s">
        <v>17</v>
      </c>
      <c r="C22" s="21">
        <f>IFERROR(J10/1000,"n/a")</f>
        <v>4084</v>
      </c>
      <c r="D22" s="21">
        <f>IFERROR(H10/1000,"n/a")</f>
        <v>3547</v>
      </c>
      <c r="E22" s="21">
        <f>IFERROR(F10/1000,"n/a")</f>
        <v>4001</v>
      </c>
      <c r="F22" s="21">
        <f>IFERROR(D10/1000,"n/a")</f>
        <v>3291</v>
      </c>
      <c r="G22" s="21">
        <f>IFERROR(B10/1000,"n/a")</f>
        <v>2536</v>
      </c>
    </row>
    <row r="23" spans="2:12" ht="14.45" customHeight="1" thickBot="1">
      <c r="B23" s="17" t="s">
        <v>25</v>
      </c>
      <c r="C23" s="22">
        <f>IFERROR(C22/C20,"n/a")</f>
        <v>0.33900556155059353</v>
      </c>
      <c r="D23" s="22">
        <f>IFERROR(D22/D20,"n/a")</f>
        <v>0.30580222432968357</v>
      </c>
      <c r="E23" s="22">
        <f>IFERROR(E22/E20,"n/a")</f>
        <v>0.35819158460161143</v>
      </c>
      <c r="F23" s="22">
        <f>IFERROR(F22/F20,"n/a")</f>
        <v>0.33215583366976181</v>
      </c>
      <c r="G23" s="22">
        <f>IFERROR(G22/G20,"n/a")</f>
        <v>0.27454801342427193</v>
      </c>
    </row>
    <row r="24" spans="2:12" ht="14.45" customHeight="1" thickBot="1">
      <c r="B24" s="16" t="s">
        <v>26</v>
      </c>
      <c r="C24" s="21">
        <f>IFERROR((J13+J14)/1000,"n/a")</f>
        <v>-419.94099999999997</v>
      </c>
      <c r="D24" s="21">
        <f>IFERROR((H13+H14)/1000,"n/a")</f>
        <v>-339.517</v>
      </c>
      <c r="E24" s="21">
        <f>IFERROR((F13+F14)/1000,"n/a")</f>
        <v>-127.514</v>
      </c>
      <c r="F24" s="21">
        <f>IFERROR((D13+D14)/1000,"n/a")</f>
        <v>-492.82799999999997</v>
      </c>
      <c r="G24" s="21">
        <f>IFERROR((B13+B14)/1000,"n/a")</f>
        <v>-131.19399999999999</v>
      </c>
    </row>
    <row r="25" spans="2:12" ht="14.45" customHeight="1" thickBot="1">
      <c r="B25" s="17" t="s">
        <v>25</v>
      </c>
      <c r="C25" s="22">
        <f>IFERROR(C24/C20,"n/a")</f>
        <v>-3.4858553996845683E-2</v>
      </c>
      <c r="D25" s="22">
        <f>IFERROR(D24/D20,"n/a")</f>
        <v>-2.9271230278472282E-2</v>
      </c>
      <c r="E25" s="22">
        <f>IFERROR(E24/E20,"n/a")</f>
        <v>-1.141575649059982E-2</v>
      </c>
      <c r="F25" s="22">
        <f>IFERROR(F24/F20,"n/a")</f>
        <v>-4.9740411788453773E-2</v>
      </c>
      <c r="G25" s="22">
        <f>IFERROR(G24/G20,"n/a")</f>
        <v>-1.4203096243369058E-2</v>
      </c>
    </row>
  </sheetData>
  <mergeCells count="1">
    <mergeCell ref="B18:G18"/>
  </mergeCells>
  <pageMargins left="0.7" right="0.7" top="0.75" bottom="0.75" header="0.3" footer="0.3"/>
  <pageSetup paperSize="9"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259813E3E0F3145868B56CD06D8E15F" ma:contentTypeVersion="11" ma:contentTypeDescription="Create a new document." ma:contentTypeScope="" ma:versionID="8347f23d8c054370070bc5102ae7426b">
  <xsd:schema xmlns:xsd="http://www.w3.org/2001/XMLSchema" xmlns:xs="http://www.w3.org/2001/XMLSchema" xmlns:p="http://schemas.microsoft.com/office/2006/metadata/properties" xmlns:ns2="4625c7d0-936d-4ae2-a7ce-ce46ded22b6b" xmlns:ns3="c79a4bf2-0db9-4905-a964-bfafb13ab9b9" targetNamespace="http://schemas.microsoft.com/office/2006/metadata/properties" ma:root="true" ma:fieldsID="0fcb8eb6f3a801e8e15b393a59cfac43" ns2:_="" ns3:_="">
    <xsd:import namespace="4625c7d0-936d-4ae2-a7ce-ce46ded22b6b"/>
    <xsd:import namespace="c79a4bf2-0db9-4905-a964-bfafb13ab9b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25c7d0-936d-4ae2-a7ce-ce46ded22b6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9a4bf2-0db9-4905-a964-bfafb13ab9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73D77D4-E18D-480B-A0C9-6A1F5232BC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25c7d0-936d-4ae2-a7ce-ce46ded22b6b"/>
    <ds:schemaRef ds:uri="c79a4bf2-0db9-4905-a964-bfafb13ab9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DBF3560-34AE-46E0-8A15-F6E96DC89D6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D302096-C5A7-43F5-B136-6EB3FD1F1416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CreditSafe</vt:lpstr>
      <vt:lpstr>Config</vt:lpstr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Ferrin</dc:creator>
  <cp:lastModifiedBy>Diego Montoliu</cp:lastModifiedBy>
  <dcterms:created xsi:type="dcterms:W3CDTF">2021-11-29T17:18:51Z</dcterms:created>
  <dcterms:modified xsi:type="dcterms:W3CDTF">2021-12-14T19:59:47Z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0x0101008259813E3E0F3145868B56CD06D8E15F</vt:lpwstr>
  </property>
</Properties>
</file>
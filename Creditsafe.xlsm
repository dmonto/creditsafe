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ego\Documents\DevProjects\Armstrong\"/>
    </mc:Choice>
  </mc:AlternateContent>
  <xr:revisionPtr revIDLastSave="0" documentId="13_ncr:1_{C6D4CAC3-FD2C-4D74-B626-84C83D5D59B6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CreditSafe" sheetId="3" r:id="rId1"/>
    <sheet name="Config" sheetId="2" state="hidden" r:id="rId2"/>
    <sheet name="Countries" sheetId="6" state="hidden" r:id="rId3"/>
    <sheet name="Template" sheetId="5" state="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3" i="3"/>
  <c r="G28" i="5" l="1"/>
  <c r="F28" i="5"/>
  <c r="E28" i="5"/>
  <c r="D28" i="5"/>
  <c r="C28" i="5"/>
  <c r="G20" i="5"/>
  <c r="F20" i="5"/>
  <c r="E20" i="5"/>
  <c r="D20" i="5"/>
  <c r="C20" i="5"/>
  <c r="G19" i="5"/>
  <c r="F19" i="5"/>
  <c r="E19" i="5"/>
  <c r="D19" i="5"/>
  <c r="C19" i="5"/>
  <c r="G18" i="5"/>
  <c r="F18" i="5"/>
  <c r="F4" i="5" s="1"/>
  <c r="E18" i="5"/>
  <c r="D18" i="5"/>
  <c r="C18" i="5"/>
  <c r="G9" i="5"/>
  <c r="F9" i="5"/>
  <c r="F10" i="5" s="1"/>
  <c r="E9" i="5"/>
  <c r="E10" i="5" s="1"/>
  <c r="D9" i="5"/>
  <c r="D10" i="5" s="1"/>
  <c r="C9" i="5"/>
  <c r="E8" i="5"/>
  <c r="G7" i="5"/>
  <c r="G8" i="5" s="1"/>
  <c r="F7" i="5"/>
  <c r="F8" i="5" s="1"/>
  <c r="E7" i="5"/>
  <c r="D7" i="5"/>
  <c r="D8" i="5" s="1"/>
  <c r="C7" i="5"/>
  <c r="C8" i="5" s="1"/>
  <c r="G5" i="5"/>
  <c r="G10" i="5" s="1"/>
  <c r="F5" i="5"/>
  <c r="F6" i="5" s="1"/>
  <c r="E5" i="5"/>
  <c r="E6" i="5" s="1"/>
  <c r="D5" i="5"/>
  <c r="D6" i="5" s="1"/>
  <c r="C5" i="5"/>
  <c r="C10" i="5" s="1"/>
  <c r="G4" i="5"/>
  <c r="E4" i="5"/>
  <c r="D4" i="5"/>
  <c r="C4" i="5"/>
  <c r="B4" i="5"/>
  <c r="B3" i="5"/>
  <c r="G6" i="5" l="1"/>
</calcChain>
</file>

<file path=xl/sharedStrings.xml><?xml version="1.0" encoding="utf-8"?>
<sst xmlns="http://schemas.openxmlformats.org/spreadsheetml/2006/main" count="1111" uniqueCount="588">
  <si>
    <t>Profit &amp; Loss</t>
  </si>
  <si>
    <t>Currency</t>
  </si>
  <si>
    <t>GBP</t>
  </si>
  <si>
    <t>Consolidated A/Cs</t>
  </si>
  <si>
    <t>Gross Profit</t>
  </si>
  <si>
    <t>Wages &amp; Salaries</t>
  </si>
  <si>
    <t>Depreciation</t>
  </si>
  <si>
    <t>&lt;----- this populates automatically, just copy and paste into powerpoint</t>
  </si>
  <si>
    <t>Sales</t>
  </si>
  <si>
    <t>% growth</t>
  </si>
  <si>
    <t>% margin</t>
  </si>
  <si>
    <t>EBITDA</t>
  </si>
  <si>
    <t>User Name</t>
  </si>
  <si>
    <t>IDafydd@armstrong-ts.com</t>
  </si>
  <si>
    <t>Password</t>
  </si>
  <si>
    <t>8BoYi4JS5F%VZOTSoUXI</t>
  </si>
  <si>
    <t>Auth URL</t>
  </si>
  <si>
    <t>https://connect.creditsafe.com/v1/authenticate</t>
  </si>
  <si>
    <t>Fin URL</t>
  </si>
  <si>
    <t>https://connect.creditsafe.com/v1/companies</t>
  </si>
  <si>
    <t>Country</t>
  </si>
  <si>
    <t>GB</t>
  </si>
  <si>
    <t>Insert Company Registration Numbers then press button to retrieve Company Info from Creditsafe</t>
  </si>
  <si>
    <t>OC303471</t>
  </si>
  <si>
    <t>07223190</t>
  </si>
  <si>
    <t>OutFIle</t>
  </si>
  <si>
    <t>ExeFile</t>
  </si>
  <si>
    <t>CreditSafe.exe</t>
  </si>
  <si>
    <t>CreditSafe Result.xlsx</t>
  </si>
  <si>
    <t>yearEndDate</t>
  </si>
  <si>
    <t>currency</t>
  </si>
  <si>
    <t>consolidatedAccounts</t>
  </si>
  <si>
    <t>revenue</t>
  </si>
  <si>
    <t>Revenue</t>
  </si>
  <si>
    <t>operatingCosts</t>
  </si>
  <si>
    <t>Operating Costs</t>
  </si>
  <si>
    <t>operatingProfit</t>
  </si>
  <si>
    <t>wagesAndSalaries</t>
  </si>
  <si>
    <t>pensionCosts</t>
  </si>
  <si>
    <t>Pension Costs</t>
  </si>
  <si>
    <t>depreciation</t>
  </si>
  <si>
    <t>amortisation</t>
  </si>
  <si>
    <t>Amortisation</t>
  </si>
  <si>
    <t>financialIncome</t>
  </si>
  <si>
    <t>Financial Income</t>
  </si>
  <si>
    <t>financialExpenses</t>
  </si>
  <si>
    <t>Financial Expenses</t>
  </si>
  <si>
    <t>extraordinaryIncome</t>
  </si>
  <si>
    <t>Extraordinary Income</t>
  </si>
  <si>
    <t>extraordinaryCosts</t>
  </si>
  <si>
    <t>Extraordinary Costs</t>
  </si>
  <si>
    <t>profitBeforeTax</t>
  </si>
  <si>
    <t>Profit Before Tax</t>
  </si>
  <si>
    <t>tax</t>
  </si>
  <si>
    <t xml:space="preserve">Tax </t>
  </si>
  <si>
    <t>profitAfterTax</t>
  </si>
  <si>
    <t>Profit After Tax</t>
  </si>
  <si>
    <t>dividends</t>
  </si>
  <si>
    <t>Dividends</t>
  </si>
  <si>
    <t>minorityInterests</t>
  </si>
  <si>
    <t>Minority Interests</t>
  </si>
  <si>
    <t>otherAppropriations</t>
  </si>
  <si>
    <t>Other Appropriations</t>
  </si>
  <si>
    <t>retainedProfit</t>
  </si>
  <si>
    <t>Retained Profit</t>
  </si>
  <si>
    <t>#pass</t>
  </si>
  <si>
    <t>#plprofitAndLoss</t>
  </si>
  <si>
    <t>00445790</t>
  </si>
  <si>
    <t>Company</t>
  </si>
  <si>
    <t>2016-03-31T00:00:00Z</t>
  </si>
  <si>
    <t>2017-03-31T00:00:00Z</t>
  </si>
  <si>
    <t>2018-03-31T00:00:00Z</t>
  </si>
  <si>
    <t>2019-03-31T00:00:00Z</t>
  </si>
  <si>
    <t>2020-03-31T00:00:00Z</t>
  </si>
  <si>
    <t>Year</t>
  </si>
  <si>
    <t>Month</t>
  </si>
  <si>
    <t>Day</t>
  </si>
  <si>
    <t>OC398623</t>
  </si>
  <si>
    <t>01557279</t>
  </si>
  <si>
    <t>11192579</t>
  </si>
  <si>
    <t>SC314813</t>
  </si>
  <si>
    <t>Tested</t>
  </si>
  <si>
    <t>#employees</t>
  </si>
  <si>
    <t>Reg. Numbers</t>
  </si>
  <si>
    <t>Feedback</t>
  </si>
  <si>
    <t>diego.montoliu@delta-ai.com</t>
  </si>
  <si>
    <t>Country Name</t>
  </si>
  <si>
    <t>ISO 3166-1-alpha-2 code</t>
  </si>
  <si>
    <t>AFGHANISTAN</t>
  </si>
  <si>
    <t>AF</t>
  </si>
  <si>
    <t>ÅLAND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</si>
  <si>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</si>
  <si>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</si>
  <si>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</si>
  <si>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</si>
  <si>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</si>
  <si>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</si>
  <si>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</si>
  <si>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</si>
  <si>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</si>
  <si>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</si>
  <si>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</si>
  <si>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</si>
  <si>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</si>
  <si>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</si>
  <si>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</si>
  <si>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</si>
  <si>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</si>
  <si>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</si>
  <si>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</si>
  <si>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</si>
  <si>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</si>
  <si>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</si>
  <si>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</si>
  <si>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</si>
  <si>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</si>
  <si>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</si>
  <si>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</si>
  <si>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</si>
  <si>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</si>
  <si>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</si>
  <si>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</si>
  <si>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</si>
  <si>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</si>
  <si>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</si>
  <si>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</si>
  <si>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</si>
  <si>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</si>
  <si>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</si>
  <si>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</si>
  <si>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</si>
  <si>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</si>
  <si>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</si>
  <si>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</si>
  <si>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</si>
  <si>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</si>
  <si>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</si>
  <si>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</si>
  <si>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</si>
  <si>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</si>
  <si>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BOLIVIA, PLURINATIONAL STATE OF</t>
  </si>
  <si>
    <t>BO</t>
  </si>
  <si>
    <t>BONAIRE, SINT EUSTATIUS AND SABA</t>
  </si>
  <si>
    <t>BQ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</si>
  <si>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</si>
  <si>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</si>
  <si>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</si>
  <si>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</si>
  <si>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</si>
  <si>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</si>
  <si>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</si>
  <si>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</si>
  <si>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</si>
  <si>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</si>
  <si>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</si>
  <si>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</si>
  <si>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</si>
  <si>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</si>
  <si>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</si>
  <si>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</si>
  <si>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</si>
  <si>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</si>
  <si>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</si>
  <si>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</si>
  <si>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</si>
  <si>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</si>
  <si>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</si>
  <si>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</si>
  <si>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</si>
  <si>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</si>
  <si>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</si>
  <si>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</si>
  <si>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</si>
  <si>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</si>
  <si>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</si>
  <si>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</si>
  <si>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</si>
  <si>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</si>
  <si>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</si>
  <si>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</si>
  <si>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</si>
  <si>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</si>
  <si>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</si>
  <si>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</si>
  <si>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</si>
  <si>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</si>
  <si>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</si>
  <si>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</si>
  <si>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</si>
  <si>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</si>
  <si>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</si>
  <si>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</si>
  <si>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</si>
  <si>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</si>
  <si>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</si>
  <si>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</si>
  <si>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CÔTE D'IVOIRE</t>
  </si>
  <si>
    <t>CI</t>
  </si>
  <si>
    <t>CROATIA</t>
  </si>
  <si>
    <t>HR</t>
  </si>
  <si>
    <t>CUBA</t>
  </si>
  <si>
    <t>CU</t>
  </si>
  <si>
    <t>CURAÇAO</t>
  </si>
  <si>
    <t>CW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</si>
  <si>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</si>
  <si>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</si>
  <si>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</si>
  <si>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</si>
  <si>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</si>
  <si>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</si>
  <si>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</si>
  <si>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</si>
  <si>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</si>
  <si>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</si>
  <si>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</si>
  <si>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</si>
  <si>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</si>
  <si>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</si>
  <si>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</si>
  <si>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</si>
  <si>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</si>
  <si>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</si>
  <si>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</si>
  <si>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</si>
  <si>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</si>
  <si>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</si>
  <si>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</si>
  <si>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</si>
  <si>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</si>
  <si>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</si>
  <si>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</si>
  <si>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</si>
  <si>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</si>
  <si>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</si>
  <si>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</si>
  <si>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</si>
  <si>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</si>
  <si>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</si>
  <si>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</si>
  <si>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</si>
  <si>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</si>
  <si>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</si>
  <si>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</si>
  <si>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</si>
  <si>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</si>
  <si>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</si>
  <si>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</si>
  <si>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</si>
  <si>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</si>
  <si>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</si>
  <si>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</si>
  <si>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</si>
  <si>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</si>
  <si>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</si>
  <si>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</si>
  <si>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</si>
  <si>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</si>
  <si>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</si>
  <si>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</si>
  <si>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</si>
  <si>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</si>
  <si>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</si>
  <si>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</si>
  <si>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</si>
  <si>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</si>
  <si>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</si>
  <si>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</si>
  <si>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</si>
  <si>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</si>
  <si>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</si>
  <si>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</si>
  <si>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>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</si>
  <si>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</si>
  <si>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</si>
  <si>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</si>
  <si>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</si>
  <si>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</si>
  <si>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</si>
  <si>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</si>
  <si>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</si>
  <si>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</si>
  <si>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</si>
  <si>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</si>
  <si>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</si>
  <si>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</si>
  <si>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</si>
  <si>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</si>
  <si>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</si>
  <si>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</si>
  <si>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</si>
  <si>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</si>
  <si>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</si>
  <si>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</si>
  <si>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</si>
  <si>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</si>
  <si>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</si>
  <si>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</si>
  <si>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</si>
  <si>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</si>
  <si>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</si>
  <si>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</si>
  <si>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</si>
  <si>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</si>
  <si>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</si>
  <si>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</si>
  <si>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</si>
  <si>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</si>
  <si>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</si>
  <si>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</si>
  <si>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</si>
  <si>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</si>
  <si>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</si>
  <si>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</si>
  <si>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</si>
  <si>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</si>
  <si>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</si>
  <si>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</si>
  <si>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</si>
  <si>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</si>
  <si>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</si>
  <si>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</si>
  <si>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</si>
  <si>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</si>
  <si>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</si>
  <si>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</si>
  <si>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</si>
  <si>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</si>
  <si>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</si>
  <si>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</si>
  <si>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</si>
  <si>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</si>
  <si>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</si>
  <si>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</si>
  <si>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</si>
  <si>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</si>
  <si>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</si>
  <si>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</si>
  <si>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</si>
  <si>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</si>
  <si>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</si>
  <si>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</si>
  <si>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</si>
  <si>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</si>
  <si>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</si>
  <si>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</si>
  <si>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</si>
  <si>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</si>
  <si>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</si>
  <si>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</si>
  <si>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</si>
  <si>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</si>
  <si>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</si>
  <si>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</si>
  <si>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</si>
  <si>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</si>
  <si>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</si>
  <si>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</si>
  <si>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</si>
  <si>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</si>
  <si>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</si>
  <si>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</si>
  <si>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</si>
  <si>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</si>
  <si>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</si>
  <si>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</si>
  <si>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</si>
  <si>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</si>
  <si>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</si>
  <si>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</si>
  <si>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</si>
  <si>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</si>
  <si>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</si>
  <si>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</si>
  <si>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</si>
  <si>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</si>
  <si>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</si>
  <si>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</si>
  <si>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</si>
  <si>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</si>
  <si>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</si>
  <si>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</si>
  <si>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</si>
  <si>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</si>
  <si>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</si>
  <si>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MONTENEGRO</t>
  </si>
  <si>
    <t>ME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</si>
  <si>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</si>
  <si>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</si>
  <si>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</si>
  <si>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</si>
  <si>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</si>
  <si>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</si>
  <si>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</si>
  <si>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</si>
  <si>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</si>
  <si>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</si>
  <si>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</si>
  <si>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</si>
  <si>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</si>
  <si>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</si>
  <si>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</si>
  <si>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</si>
  <si>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</si>
  <si>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</si>
  <si>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</si>
  <si>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</si>
  <si>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</si>
  <si>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</si>
  <si>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</si>
  <si>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</si>
  <si>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</si>
  <si>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</si>
  <si>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</si>
  <si>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</si>
  <si>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</si>
  <si>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</si>
  <si>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</si>
  <si>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</si>
  <si>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</si>
  <si>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</si>
  <si>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</si>
  <si>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</si>
  <si>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</si>
  <si>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</si>
  <si>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</si>
  <si>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</si>
  <si>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PALESTINE, STATE OF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</si>
  <si>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</si>
  <si>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</si>
  <si>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</si>
  <si>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</si>
  <si>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</si>
  <si>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</si>
  <si>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</si>
  <si>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</si>
  <si>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</si>
  <si>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</si>
  <si>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</si>
  <si>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</si>
  <si>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</si>
  <si>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</si>
  <si>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</si>
  <si>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</si>
  <si>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</si>
  <si>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</si>
  <si>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</si>
  <si>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</si>
  <si>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</si>
  <si>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RÉUNION</t>
  </si>
  <si>
    <t>RE</t>
  </si>
  <si>
    <t>ROMANIA</t>
  </si>
  <si>
    <t>RO</t>
  </si>
  <si>
    <t>RUSSIAN FEDERATION</t>
  </si>
  <si>
    <t>RU</t>
  </si>
  <si>
    <t>RWANDA</t>
  </si>
  <si>
    <t>RW</t>
  </si>
  <si>
    <t>SAINT BARTHÉLEMY</t>
  </si>
  <si>
    <t>BL</t>
  </si>
  <si>
    <t>SAINT HELENA, ASCENSION AND TRISTAN DA CUNHA</t>
  </si>
  <si>
    <t>SH</t>
  </si>
  <si>
    <t>SAINT KITTS AND NEVIS</t>
  </si>
  <si>
    <t>KN</t>
  </si>
  <si>
    <t>SAINT LUCIA</t>
  </si>
  <si>
    <t>LC</t>
  </si>
  <si>
    <t>SAINT MARTIN (FRENCH PART)</t>
  </si>
  <si>
    <t>MF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</si>
  <si>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</si>
  <si>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</si>
  <si>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</si>
  <si>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</si>
  <si>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</si>
  <si>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</si>
  <si>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</si>
  <si>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</si>
  <si>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</si>
  <si>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</si>
  <si>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</si>
  <si>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</si>
  <si>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</si>
  <si>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</si>
  <si>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</t>
  </si>
  <si>
    <t>RS</t>
  </si>
  <si>
    <t>SEYCHELLES</t>
  </si>
  <si>
    <t>SC</t>
  </si>
  <si>
    <t>SIERRA LEONE</t>
  </si>
  <si>
    <t>SL</t>
  </si>
  <si>
    <t>SINGAPORE</t>
  </si>
  <si>
    <t>SG</t>
  </si>
  <si>
    <t>SINT MAARTEN (DUTCH PART)</t>
  </si>
  <si>
    <t>SX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</si>
  <si>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</si>
  <si>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</si>
  <si>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</si>
  <si>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</si>
  <si>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</si>
  <si>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</si>
  <si>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</si>
  <si>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</si>
  <si>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</si>
  <si>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</si>
  <si>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</si>
  <si>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</si>
  <si>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SOUTH SUDAN</t>
  </si>
  <si>
    <t>SS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</si>
  <si>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</si>
  <si>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</si>
  <si>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</si>
  <si>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</si>
  <si>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</si>
  <si>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</si>
  <si>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</si>
  <si>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</si>
  <si>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</si>
  <si>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</si>
  <si>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</si>
  <si>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</si>
  <si>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</si>
  <si>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</si>
  <si>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</si>
  <si>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</si>
  <si>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</si>
  <si>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</si>
  <si>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</si>
  <si>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</si>
  <si>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</si>
  <si>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</si>
  <si>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</si>
  <si>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</si>
  <si>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</si>
  <si>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</si>
  <si>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</si>
  <si>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</si>
  <si>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</si>
  <si>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</si>
  <si>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</si>
  <si>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</si>
  <si>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</si>
  <si>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</si>
  <si>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</si>
  <si>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</si>
  <si>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</si>
  <si>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</si>
  <si>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</si>
  <si>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</si>
  <si>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</si>
  <si>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</si>
  <si>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</si>
  <si>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</si>
  <si>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</si>
  <si>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</si>
  <si>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</si>
  <si>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</si>
  <si>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</si>
  <si>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</si>
  <si>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</si>
  <si>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</si>
  <si>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</si>
  <si>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</si>
  <si>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</si>
  <si>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</si>
  <si>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</si>
  <si>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</si>
  <si>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</si>
  <si>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</si>
  <si>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</si>
  <si>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</si>
  <si>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</si>
  <si>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VENEZUELA, BOLIVARIAN REPUBLIC OF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</si>
  <si>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</si>
  <si>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</si>
  <si>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</si>
  <si>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</si>
  <si>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</si>
  <si>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</si>
  <si>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</si>
  <si>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</si>
  <si>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</si>
  <si>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</si>
  <si>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</si>
  <si>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</si>
  <si>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</si>
  <si>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</si>
  <si>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</si>
  <si>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</si>
  <si>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</si>
  <si>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Country (Empty for UK)</t>
  </si>
  <si>
    <t>Delta AI - v1.1</t>
  </si>
  <si>
    <t>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</si>
</sst>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£&quot;#,##0_);[Red]\(&quot;£&quot;#,##0\)"/>
    <numFmt numFmtId="165" formatCode="0.0%"/>
    <numFmt numFmtId="166" formatCode="#,##0;[Black]\(#,##0\)"/>
    <numFmt numFmtId="167" formatCode="[Black]&quot;£&quot;* #,##0;[Black]&quot;£&quot;* \(#,##0\);&quot;£&quot;* &quot;-&quot;??_-;_-@_-"/>
    <numFmt numFmtId="168" formatCode="0.0%;[Black]\(0.0%\);_(&quot;-&quot;??_)"/>
    <numFmt numFmtId="169" formatCode="&quot;£&quot;#,##0;[Red]\-&quot;£&quot;#,##0"/>
  </numFmts>
  <fonts count="41">
    <font>
      <sz val="10"/>
      <name val="Arial"/>
    </font>
    <font>
      <sz val="11"/>
      <color theme="1"/>
      <name val="Calibri"/>
      <family val="2"/>
      <scheme val="minor"/>
    </font>
    <font>
      <sz val="11"/>
      <name val="Tw Cen MT"/>
      <family val="2"/>
    </font>
    <font>
      <sz val="24"/>
      <color rgb="FF474647"/>
      <name val="Arial"/>
      <family val="2"/>
    </font>
    <font>
      <sz val="13.5"/>
      <color rgb="FF474647"/>
      <name val="Arial"/>
      <family val="2"/>
    </font>
    <font>
      <sz val="8"/>
      <color rgb="FF253342"/>
      <name val="Open Sans"/>
      <family val="2"/>
    </font>
    <font>
      <sz val="8"/>
      <color rgb="FF474647"/>
      <name val="Open Sans"/>
      <family val="2"/>
    </font>
    <font>
      <sz val="8"/>
      <color rgb="FF253342"/>
      <name val="Inherit"/>
    </font>
    <font>
      <b/>
      <sz val="8"/>
      <color rgb="FF253342"/>
      <name val="Inherit"/>
    </font>
    <font>
      <b/>
      <sz val="11"/>
      <name val="Tw Cen MT"/>
      <family val="2"/>
    </font>
    <font>
      <sz val="11"/>
      <color rgb="FF000000"/>
      <name val="Tw Cen MT"/>
      <family val="2"/>
    </font>
    <font>
      <i/>
      <sz val="11"/>
      <color rgb="FF000000"/>
      <name val="Tw Cen MT"/>
      <family val="2"/>
    </font>
    <font>
      <i/>
      <sz val="11"/>
      <name val="Tw Cen MT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color theme="1"/>
      <name val="Tw Cen MT"/>
      <family val="2"/>
    </font>
    <font>
      <b/>
      <sz val="12"/>
      <color theme="3"/>
      <name val="Tw Cen MT"/>
      <family val="2"/>
    </font>
    <font>
      <sz val="12"/>
      <color theme="3"/>
      <name val="Tw Cen MT"/>
      <family val="2"/>
    </font>
    <font>
      <b/>
      <sz val="10"/>
      <color theme="0"/>
      <name val="Tw Cen MT"/>
      <family val="2"/>
    </font>
    <font>
      <i/>
      <sz val="10"/>
      <color rgb="FF7F7F7F"/>
      <name val="Tw Cen MT"/>
      <family val="2"/>
    </font>
    <font>
      <b/>
      <sz val="10"/>
      <color rgb="FF3F3F3F"/>
      <name val="Tw Cen MT"/>
      <family val="2"/>
    </font>
    <font>
      <u/>
      <sz val="10"/>
      <color theme="11"/>
      <name val="Tw Cen MT"/>
      <family val="2"/>
    </font>
    <font>
      <u/>
      <sz val="10"/>
      <color theme="10"/>
      <name val="Tw Cen MT"/>
      <family val="2"/>
    </font>
    <font>
      <sz val="10"/>
      <color rgb="FF3F3F76"/>
      <name val="Tw Cen MT"/>
      <family val="2"/>
    </font>
    <font>
      <sz val="10"/>
      <color theme="3"/>
      <name val="Tw Cen MT"/>
      <family val="2"/>
    </font>
    <font>
      <b/>
      <sz val="11"/>
      <color theme="3"/>
      <name val="Tw Cen MT"/>
      <family val="2"/>
    </font>
    <font>
      <sz val="14"/>
      <color theme="3"/>
      <name val="Tw Cen MT"/>
      <family val="2"/>
    </font>
    <font>
      <b/>
      <sz val="10"/>
      <color theme="1"/>
      <name val="Tw Cen MT"/>
      <family val="2"/>
    </font>
    <font>
      <sz val="10"/>
      <color theme="7"/>
      <name val="Tw Cen MT"/>
      <family val="2"/>
    </font>
    <font>
      <sz val="10"/>
      <color theme="4" tint="-0.24994659260841701"/>
      <name val="Tw Cen MT"/>
      <family val="2"/>
    </font>
    <font>
      <sz val="10"/>
      <color theme="6" tint="-0.24994659260841701"/>
      <name val="Tw Cen MT"/>
      <family val="2"/>
    </font>
    <font>
      <b/>
      <sz val="10"/>
      <color theme="2"/>
      <name val="Tw Cen MT"/>
      <family val="2"/>
    </font>
    <font>
      <sz val="11"/>
      <color rgb="FFC00000"/>
      <name val="Tw Cen MT"/>
      <family val="2"/>
    </font>
    <font>
      <sz val="10"/>
      <name val="Tw Cen MT"/>
      <family val="2"/>
    </font>
    <font>
      <b/>
      <sz val="12"/>
      <color rgb="FF000000"/>
      <name val="Tw Cen MT"/>
      <family val="2"/>
    </font>
    <font>
      <b/>
      <sz val="10"/>
      <color theme="4"/>
      <name val="Arial"/>
      <family val="2"/>
    </font>
    <font>
      <sz val="10"/>
      <color rgb="FF000000"/>
      <name val="Arial Unicode MS"/>
    </font>
    <font>
      <sz val="12"/>
      <color rgb="FF000000"/>
      <name val="Tw Cen MT"/>
      <family val="2"/>
    </font>
    <font>
      <b/>
      <sz val="10"/>
      <color theme="5" tint="-0.499984740745262"/>
      <name val="Arial"/>
      <family val="2"/>
    </font>
    <font>
      <i/>
      <sz val="10"/>
      <color theme="5"/>
      <name val="Arial"/>
      <family val="2"/>
    </font>
    <font>
      <sz val="6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2ECFF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 style="medium">
        <color rgb="FFE0E0E0"/>
      </top>
      <bottom style="medium">
        <color rgb="FFE0E0E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theme="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5">
    <xf numFmtId="0" fontId="0" fillId="0" borderId="0"/>
    <xf numFmtId="0" fontId="14" fillId="0" borderId="0" applyNumberFormat="0" applyFill="0" applyBorder="0" applyAlignment="0" applyProtection="0"/>
    <xf numFmtId="0" fontId="1" fillId="0" borderId="0"/>
    <xf numFmtId="0" fontId="22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68" fontId="15" fillId="0" borderId="0" applyFill="0" applyBorder="0" applyProtection="0">
      <alignment horizontal="right"/>
    </xf>
    <xf numFmtId="166" fontId="15" fillId="0" borderId="0" applyFill="0" applyBorder="0" applyProtection="0">
      <alignment horizontal="right"/>
    </xf>
    <xf numFmtId="0" fontId="16" fillId="0" borderId="6" applyNumberFormat="0" applyFill="0" applyAlignment="0" applyProtection="0"/>
    <xf numFmtId="0" fontId="24" fillId="0" borderId="8" applyNumberFormat="0" applyFill="0" applyAlignment="0" applyProtection="0"/>
    <xf numFmtId="0" fontId="23" fillId="6" borderId="9" applyNumberFormat="0" applyProtection="0">
      <alignment horizontal="right"/>
    </xf>
    <xf numFmtId="0" fontId="29" fillId="5" borderId="9" applyNumberFormat="0" applyProtection="0">
      <alignment horizontal="right"/>
    </xf>
    <xf numFmtId="0" fontId="26" fillId="0" borderId="0" applyNumberFormat="0" applyFill="0" applyBorder="0" applyAlignment="0" applyProtection="0"/>
    <xf numFmtId="0" fontId="25" fillId="0" borderId="7" applyNumberFormat="0" applyFill="0" applyAlignment="0" applyProtection="0"/>
    <xf numFmtId="0" fontId="21" fillId="0" borderId="0" applyNumberFormat="0" applyFill="0" applyBorder="0" applyAlignment="0" applyProtection="0"/>
    <xf numFmtId="167" fontId="1" fillId="0" borderId="0" applyFont="0" applyFill="0" applyBorder="0" applyProtection="0">
      <alignment horizontal="right"/>
    </xf>
    <xf numFmtId="0" fontId="20" fillId="8" borderId="10" applyNumberFormat="0" applyAlignment="0" applyProtection="0"/>
    <xf numFmtId="0" fontId="30" fillId="0" borderId="16" applyNumberFormat="0" applyFill="0" applyProtection="0">
      <alignment horizontal="right"/>
    </xf>
    <xf numFmtId="0" fontId="18" fillId="9" borderId="11" applyNumberFormat="0" applyProtection="0">
      <alignment horizontal="center"/>
    </xf>
    <xf numFmtId="0" fontId="31" fillId="0" borderId="0" applyNumberFormat="0" applyFill="0" applyBorder="0" applyAlignment="0" applyProtection="0"/>
    <xf numFmtId="0" fontId="15" fillId="7" borderId="12" applyNumberFormat="0" applyAlignment="0" applyProtection="0"/>
    <xf numFmtId="0" fontId="19" fillId="0" borderId="0" applyNumberFormat="0" applyFill="0" applyBorder="0" applyAlignment="0" applyProtection="0"/>
    <xf numFmtId="0" fontId="27" fillId="0" borderId="13" applyNumberFormat="0" applyFill="0" applyAlignment="0" applyProtection="0"/>
    <xf numFmtId="49" fontId="15" fillId="0" borderId="0" applyNumberFormat="0" applyFill="0" applyBorder="0" applyProtection="0">
      <alignment horizontal="left" wrapText="1"/>
    </xf>
    <xf numFmtId="0" fontId="28" fillId="0" borderId="0" applyNumberFormat="0" applyFill="0" applyBorder="0" applyProtection="0">
      <alignment horizontal="left" wrapText="1"/>
    </xf>
    <xf numFmtId="0" fontId="13" fillId="0" borderId="0"/>
  </cellStyleXfs>
  <cellXfs count="37">
    <xf numFmtId="0" fontId="0" fillId="0" borderId="0" xfId="0"/>
    <xf numFmtId="0" fontId="13" fillId="0" borderId="0" xfId="0" applyFont="1"/>
    <xf numFmtId="0" fontId="14" fillId="0" borderId="0" xfId="1"/>
    <xf numFmtId="0" fontId="0" fillId="0" borderId="0" xfId="0" applyAlignment="1">
      <alignment horizontal="left"/>
    </xf>
    <xf numFmtId="49" fontId="33" fillId="6" borderId="14" xfId="0" applyNumberFormat="1" applyFont="1" applyFill="1" applyBorder="1" applyAlignment="1">
      <alignment horizontal="left"/>
    </xf>
    <xf numFmtId="49" fontId="33" fillId="6" borderId="15" xfId="0" applyNumberFormat="1" applyFont="1" applyFill="1" applyBorder="1" applyAlignment="1">
      <alignment horizontal="left"/>
    </xf>
    <xf numFmtId="0" fontId="2" fillId="0" borderId="0" xfId="24" applyFont="1"/>
    <xf numFmtId="0" fontId="3" fillId="0" borderId="0" xfId="24" applyFont="1" applyAlignment="1">
      <alignment horizontal="left" vertical="center"/>
    </xf>
    <xf numFmtId="0" fontId="4" fillId="0" borderId="0" xfId="24" applyFont="1" applyAlignment="1">
      <alignment horizontal="left" vertical="center" wrapText="1"/>
    </xf>
    <xf numFmtId="14" fontId="5" fillId="2" borderId="1" xfId="24" applyNumberFormat="1" applyFont="1" applyFill="1" applyBorder="1" applyAlignment="1">
      <alignment horizontal="right" vertical="center"/>
    </xf>
    <xf numFmtId="0" fontId="2" fillId="0" borderId="0" xfId="24" applyFont="1" applyAlignment="1">
      <alignment horizontal="left" indent="2"/>
    </xf>
    <xf numFmtId="0" fontId="7" fillId="2" borderId="1" xfId="24" applyFont="1" applyFill="1" applyBorder="1" applyAlignment="1">
      <alignment horizontal="right" vertical="center" wrapText="1"/>
    </xf>
    <xf numFmtId="0" fontId="6" fillId="2" borderId="1" xfId="24" applyFont="1" applyFill="1" applyBorder="1" applyAlignment="1">
      <alignment horizontal="right" vertical="center"/>
    </xf>
    <xf numFmtId="0" fontId="8" fillId="3" borderId="1" xfId="24" applyFont="1" applyFill="1" applyBorder="1" applyAlignment="1">
      <alignment horizontal="left" vertical="center"/>
    </xf>
    <xf numFmtId="169" fontId="6" fillId="3" borderId="1" xfId="24" applyNumberFormat="1" applyFont="1" applyFill="1" applyBorder="1" applyAlignment="1">
      <alignment horizontal="right" vertical="center"/>
    </xf>
    <xf numFmtId="0" fontId="7" fillId="2" borderId="1" xfId="24" applyFont="1" applyFill="1" applyBorder="1" applyAlignment="1">
      <alignment horizontal="left" vertical="center"/>
    </xf>
    <xf numFmtId="169" fontId="6" fillId="2" borderId="1" xfId="24" applyNumberFormat="1" applyFont="1" applyFill="1" applyBorder="1" applyAlignment="1">
      <alignment horizontal="right" vertical="center"/>
    </xf>
    <xf numFmtId="0" fontId="10" fillId="4" borderId="3" xfId="24" applyFont="1" applyFill="1" applyBorder="1" applyAlignment="1">
      <alignment horizontal="center" vertical="center" wrapText="1" readingOrder="1"/>
    </xf>
    <xf numFmtId="0" fontId="10" fillId="0" borderId="4" xfId="24" applyFont="1" applyBorder="1" applyAlignment="1">
      <alignment horizontal="left" vertical="center" wrapText="1" readingOrder="1"/>
    </xf>
    <xf numFmtId="164" fontId="2" fillId="0" borderId="4" xfId="24" applyNumberFormat="1" applyFont="1" applyBorder="1" applyAlignment="1">
      <alignment vertical="center" wrapText="1"/>
    </xf>
    <xf numFmtId="0" fontId="11" fillId="0" borderId="5" xfId="24" applyFont="1" applyBorder="1" applyAlignment="1">
      <alignment horizontal="left" vertical="center" wrapText="1" readingOrder="1"/>
    </xf>
    <xf numFmtId="0" fontId="2" fillId="0" borderId="5" xfId="24" applyFont="1" applyBorder="1" applyAlignment="1">
      <alignment vertical="center" wrapText="1"/>
    </xf>
    <xf numFmtId="165" fontId="12" fillId="0" borderId="5" xfId="24" applyNumberFormat="1" applyFont="1" applyBorder="1" applyAlignment="1">
      <alignment vertical="center" wrapText="1"/>
    </xf>
    <xf numFmtId="14" fontId="10" fillId="4" borderId="3" xfId="24" applyNumberFormat="1" applyFont="1" applyFill="1" applyBorder="1" applyAlignment="1">
      <alignment horizontal="center" vertical="center" wrapText="1" readingOrder="1"/>
    </xf>
    <xf numFmtId="0" fontId="35" fillId="0" borderId="0" xfId="0" applyFont="1"/>
    <xf numFmtId="0" fontId="0" fillId="0" borderId="0" xfId="0" applyAlignment="1">
      <alignment wrapText="1"/>
    </xf>
    <xf numFmtId="0" fontId="13" fillId="0" borderId="0" xfId="0" applyFont="1" applyAlignment="1">
      <alignment wrapText="1"/>
    </xf>
    <xf numFmtId="49" fontId="33" fillId="6" borderId="17" xfId="0" applyNumberFormat="1" applyFont="1" applyFill="1" applyBorder="1" applyAlignment="1">
      <alignment horizontal="left"/>
    </xf>
    <xf numFmtId="0" fontId="14" fillId="7" borderId="0" xfId="1" applyFill="1" applyAlignment="1">
      <alignment horizontal="left" vertical="top"/>
    </xf>
    <xf numFmtId="0" fontId="36" fillId="0" borderId="0" xfId="0" applyFont="1" applyAlignment="1">
      <alignment vertical="center"/>
    </xf>
    <xf numFmtId="0" fontId="38" fillId="0" borderId="0" xfId="0" applyFont="1"/>
    <xf numFmtId="0" fontId="39" fillId="0" borderId="0" xfId="0" applyFont="1" applyAlignment="1">
      <alignment horizontal="left"/>
    </xf>
    <xf numFmtId="0" fontId="32" fillId="10" borderId="0" xfId="4" applyFont="1" applyFill="1" applyAlignment="1">
      <alignment horizontal="left" vertical="top" wrapText="1"/>
    </xf>
    <xf numFmtId="0" fontId="40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9" fillId="0" borderId="2" xfId="24" applyFont="1" applyBorder="1" applyAlignment="1">
      <alignment horizontal="center" vertical="center"/>
    </xf>
    <xf numFmtId="0" fontId="13" fillId="0" borderId="2" xfId="24" applyBorder="1"/>
  </cellXfs>
  <cellStyles count="25">
    <cellStyle name="Calculation 2" xfId="10" xr:uid="{12C0B165-3182-48D3-9AA9-B64CCD3C131F}"/>
    <cellStyle name="Check Cell 2" xfId="17" xr:uid="{9FE872E7-84F8-432C-B5D0-7CBADD2EF46F}"/>
    <cellStyle name="Comma 2" xfId="6" xr:uid="{28942296-C936-45E6-84CD-031AF511D234}"/>
    <cellStyle name="Currency 2" xfId="14" xr:uid="{F5A39691-35B0-4A0C-B29F-3DF650FBDC27}"/>
    <cellStyle name="Explanatory Text 2" xfId="20" xr:uid="{0000033F-C0FA-4CF2-8284-EB5A6E46F272}"/>
    <cellStyle name="Followed Hyperlink 2" xfId="13" xr:uid="{35AF77CF-A267-4B0F-8C89-10C868C83FDD}"/>
    <cellStyle name="Heading 1 2" xfId="7" xr:uid="{FDD92308-BF78-491A-816A-8DBD61A28BB7}"/>
    <cellStyle name="Heading 2 2" xfId="12" xr:uid="{4C4ECD02-0588-4954-94E6-58860B9B5E01}"/>
    <cellStyle name="Heading 3 2" xfId="8" xr:uid="{D8521DFA-224A-45AA-8D76-0265F3B5DB5C}"/>
    <cellStyle name="Heading 4 2" xfId="4" xr:uid="{488890D0-1E15-471E-84CD-EC7399D56229}"/>
    <cellStyle name="Hyperlink" xfId="1" builtinId="8"/>
    <cellStyle name="Hyperlink 2" xfId="3" xr:uid="{5DE63ED0-4B87-438A-A531-982F98D55DF4}"/>
    <cellStyle name="Input 2" xfId="9" xr:uid="{C0521EE8-7784-4E54-AAEC-B826456AAAAC}"/>
    <cellStyle name="Linked Cell 2" xfId="16" xr:uid="{98947DD9-932A-4351-A633-261987780488}"/>
    <cellStyle name="Normal" xfId="0" builtinId="0"/>
    <cellStyle name="Normal 2" xfId="2" xr:uid="{E2F26028-9284-4F0F-BECF-9AC014FD71DC}"/>
    <cellStyle name="Normal 3" xfId="24" xr:uid="{30132B88-343C-4D47-A386-B8E609620F32}"/>
    <cellStyle name="Note 2" xfId="19" xr:uid="{2EF8EFEA-432A-43F4-90E4-F3ADAE17B525}"/>
    <cellStyle name="Output 2" xfId="15" xr:uid="{CCEBA0AC-07A0-49F3-A5A8-9AD831BB9F67}"/>
    <cellStyle name="Percent 2" xfId="5" xr:uid="{2DFFC41E-7AEB-4AF7-AC1D-633F35916BFA}"/>
    <cellStyle name="Table Row Title" xfId="23" xr:uid="{0C838DBA-FA80-4333-8D91-1856100070BA}"/>
    <cellStyle name="Text" xfId="22" xr:uid="{4D7355A9-B551-4DAC-8080-3799CB4D4361}"/>
    <cellStyle name="Title 2" xfId="11" xr:uid="{264B7119-9914-4F17-8C5C-AEE3ECCD3F14}"/>
    <cellStyle name="Total 2" xfId="21" xr:uid="{F3A2D9A2-AAD5-45E8-A9AC-9F3F1AC753DA}"/>
    <cellStyle name="Warning Text 2" xfId="18" xr:uid="{975A86BC-AC68-43D9-87FA-91891CE8332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2</xdr:row>
          <xdr:rowOff>76200</xdr:rowOff>
        </xdr:from>
        <xdr:to>
          <xdr:col>7</xdr:col>
          <xdr:colOff>38100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Tw Cen MT"/>
                </a:rPr>
                <a:t>Retrieve Company Info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66675</xdr:colOff>
      <xdr:row>0</xdr:row>
      <xdr:rowOff>82550</xdr:rowOff>
    </xdr:from>
    <xdr:to>
      <xdr:col>7</xdr:col>
      <xdr:colOff>142875</xdr:colOff>
      <xdr:row>2</xdr:row>
      <xdr:rowOff>3175</xdr:rowOff>
    </xdr:to>
    <xdr:pic>
      <xdr:nvPicPr>
        <xdr:cNvPr id="3" name="Picture 2" descr="Armstrong Transaction Services Company Profile: Service Breakdown &amp;amp; Team |  PitchBoo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667" b="34666"/>
        <a:stretch/>
      </xdr:blipFill>
      <xdr:spPr bwMode="auto">
        <a:xfrm>
          <a:off x="4381500" y="82550"/>
          <a:ext cx="1905000" cy="577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7</xdr:row>
          <xdr:rowOff>28575</xdr:rowOff>
        </xdr:from>
        <xdr:to>
          <xdr:col>7</xdr:col>
          <xdr:colOff>38100</xdr:colOff>
          <xdr:row>10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Tw Cen MT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10</xdr:row>
          <xdr:rowOff>85725</xdr:rowOff>
        </xdr:from>
        <xdr:to>
          <xdr:col>7</xdr:col>
          <xdr:colOff>28575</xdr:colOff>
          <xdr:row>13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Tw Cen MT"/>
                </a:rPr>
                <a:t>Report Feedback or Issue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connect.creditsafe.com/v1/companies" TargetMode="External"/><Relationship Id="rId2" Type="http://schemas.openxmlformats.org/officeDocument/2006/relationships/hyperlink" Target="https://connect.creditsafe.com/v1/authenticate" TargetMode="External"/><Relationship Id="rId1" Type="http://schemas.openxmlformats.org/officeDocument/2006/relationships/hyperlink" Target="mailto:IDafydd@armstrong-ts.com" TargetMode="External"/><Relationship Id="rId4" Type="http://schemas.openxmlformats.org/officeDocument/2006/relationships/hyperlink" Target="mailto:diego.montoliu@delta-ai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1528A-4A0E-4ACD-816D-62296AA0A431}">
  <sheetPr codeName="Sheet2">
    <tabColor theme="9" tint="0.39997558519241921"/>
  </sheetPr>
  <dimension ref="A1:J28"/>
  <sheetViews>
    <sheetView showGridLines="0" tabSelected="1" workbookViewId="0">
      <selection activeCell="C8" sqref="C8"/>
    </sheetView>
  </sheetViews>
  <sheetFormatPr defaultRowHeight="12.75"/>
  <cols>
    <col min="1" max="1" width="21.42578125" customWidth="1"/>
    <col min="2" max="2" width="18.140625" style="3" customWidth="1"/>
    <col min="3" max="3" width="29" customWidth="1"/>
    <col min="4" max="4" width="0" hidden="1" customWidth="1"/>
  </cols>
  <sheetData>
    <row r="1" spans="1:10" ht="39.6" customHeight="1">
      <c r="A1" s="32" t="s">
        <v>22</v>
      </c>
      <c r="B1" s="32"/>
      <c r="C1" s="32"/>
      <c r="J1" s="26"/>
    </row>
    <row r="2" spans="1:10">
      <c r="A2" s="24" t="s">
        <v>585</v>
      </c>
      <c r="B2" s="24" t="s">
        <v>83</v>
      </c>
      <c r="C2" s="30" t="s">
        <v>587</v>
      </c>
      <c r="I2" s="1"/>
      <c r="J2" s="25"/>
    </row>
    <row r="3" spans="1:10">
      <c r="A3" s="28"/>
      <c r="B3" s="27"/>
      <c r="D3" s="2" t="e">
        <f>VLOOKUP(UPPER(A3),Countries!A:B,2,FALSE)</f>
        <v>#N/A</v>
      </c>
    </row>
    <row r="4" spans="1:10">
      <c r="A4" s="28"/>
      <c r="B4" s="4"/>
      <c r="C4" s="2"/>
      <c r="D4" s="2" t="e">
        <f>VLOOKUP(UPPER(A4),Countries!A:B,2,FALSE)</f>
        <v>#N/A</v>
      </c>
    </row>
    <row r="5" spans="1:10">
      <c r="A5" s="28"/>
      <c r="B5" s="4"/>
      <c r="D5" s="2" t="e">
        <f>VLOOKUP(UPPER(A5),Countries!A:B,2,FALSE)</f>
        <v>#N/A</v>
      </c>
    </row>
    <row r="6" spans="1:10">
      <c r="A6" s="28"/>
      <c r="B6" s="4"/>
      <c r="D6" s="2" t="e">
        <f>VLOOKUP(UPPER(A6),Countries!A:B,2,FALSE)</f>
        <v>#N/A</v>
      </c>
    </row>
    <row r="7" spans="1:10">
      <c r="A7" s="28"/>
      <c r="B7" s="4"/>
      <c r="D7" s="2" t="e">
        <f>VLOOKUP(UPPER(A7),Countries!A:B,2,FALSE)</f>
        <v>#N/A</v>
      </c>
    </row>
    <row r="8" spans="1:10">
      <c r="A8" s="28"/>
      <c r="B8" s="4"/>
      <c r="D8" s="2" t="e">
        <f>VLOOKUP(UPPER(A8),Countries!A:B,2,FALSE)</f>
        <v>#N/A</v>
      </c>
    </row>
    <row r="9" spans="1:10">
      <c r="A9" s="28"/>
      <c r="B9" s="4"/>
      <c r="D9" s="2" t="e">
        <f>VLOOKUP(UPPER(A9),Countries!A:B,2,FALSE)</f>
        <v>#N/A</v>
      </c>
    </row>
    <row r="10" spans="1:10">
      <c r="A10" s="28"/>
      <c r="B10" s="4"/>
      <c r="D10" s="2" t="e">
        <f>VLOOKUP(UPPER(A10),Countries!A:B,2,FALSE)</f>
        <v>#N/A</v>
      </c>
    </row>
    <row r="11" spans="1:10">
      <c r="A11" s="28"/>
      <c r="B11" s="4"/>
      <c r="D11" s="2" t="e">
        <f>VLOOKUP(UPPER(A11),Countries!A:B,2,FALSE)</f>
        <v>#N/A</v>
      </c>
    </row>
    <row r="12" spans="1:10">
      <c r="A12" s="28"/>
      <c r="B12" s="4"/>
      <c r="D12" s="2" t="e">
        <f>VLOOKUP(UPPER(A12),Countries!A:B,2,FALSE)</f>
        <v>#N/A</v>
      </c>
    </row>
    <row r="13" spans="1:10">
      <c r="A13" s="28"/>
      <c r="B13" s="4"/>
      <c r="D13" s="2" t="e">
        <f>VLOOKUP(UPPER(A13),Countries!A:B,2,FALSE)</f>
        <v>#N/A</v>
      </c>
    </row>
    <row r="14" spans="1:10">
      <c r="A14" s="28"/>
      <c r="B14" s="4"/>
      <c r="D14" s="2" t="e">
        <f>VLOOKUP(UPPER(A14),Countries!A:B,2,FALSE)</f>
        <v>#N/A</v>
      </c>
    </row>
    <row r="15" spans="1:10">
      <c r="A15" s="28"/>
      <c r="B15" s="4"/>
      <c r="D15" s="2" t="e">
        <f>VLOOKUP(UPPER(A15),Countries!A:B,2,FALSE)</f>
        <v>#N/A</v>
      </c>
    </row>
    <row r="16" spans="1:10">
      <c r="A16" s="28"/>
      <c r="B16" s="4"/>
      <c r="D16" s="2" t="e">
        <f>VLOOKUP(UPPER(A16),Countries!A:B,2,FALSE)</f>
        <v>#N/A</v>
      </c>
    </row>
    <row r="17" spans="1:9">
      <c r="A17" s="28"/>
      <c r="B17" s="4"/>
      <c r="D17" s="2" t="e">
        <f>VLOOKUP(UPPER(A17),Countries!A:B,2,FALSE)</f>
        <v>#N/A</v>
      </c>
    </row>
    <row r="18" spans="1:9">
      <c r="A18" s="28"/>
      <c r="B18" s="4"/>
      <c r="D18" s="2" t="e">
        <f>VLOOKUP(UPPER(A18),Countries!A:B,2,FALSE)</f>
        <v>#N/A</v>
      </c>
    </row>
    <row r="19" spans="1:9">
      <c r="A19" s="28"/>
      <c r="B19" s="4"/>
      <c r="D19" s="2" t="e">
        <f>VLOOKUP(UPPER(A19),Countries!A:B,2,FALSE)</f>
        <v>#N/A</v>
      </c>
    </row>
    <row r="20" spans="1:9">
      <c r="A20" s="28"/>
      <c r="B20" s="4"/>
      <c r="D20" s="2" t="e">
        <f>VLOOKUP(UPPER(A20),Countries!A:B,2,FALSE)</f>
        <v>#N/A</v>
      </c>
    </row>
    <row r="21" spans="1:9">
      <c r="A21" s="28"/>
      <c r="B21" s="4"/>
      <c r="D21" s="2" t="e">
        <f>VLOOKUP(UPPER(A21),Countries!A:B,2,FALSE)</f>
        <v>#N/A</v>
      </c>
    </row>
    <row r="22" spans="1:9">
      <c r="A22" s="28"/>
      <c r="B22" s="4"/>
      <c r="D22" s="2" t="e">
        <f>VLOOKUP(UPPER(A22),Countries!A:B,2,FALSE)</f>
        <v>#N/A</v>
      </c>
    </row>
    <row r="23" spans="1:9">
      <c r="A23" s="28"/>
      <c r="B23" s="4"/>
      <c r="D23" s="2" t="e">
        <f>VLOOKUP(UPPER(A23),Countries!A:B,2,FALSE)</f>
        <v>#N/A</v>
      </c>
    </row>
    <row r="24" spans="1:9">
      <c r="A24" s="28"/>
      <c r="B24" s="4"/>
      <c r="D24" s="2" t="e">
        <f>VLOOKUP(UPPER(A24),Countries!A:B,2,FALSE)</f>
        <v>#N/A</v>
      </c>
    </row>
    <row r="25" spans="1:9">
      <c r="A25" s="28"/>
      <c r="B25" s="5"/>
      <c r="D25" s="2" t="e">
        <f>VLOOKUP(UPPER(A25),Countries!A:B,2,FALSE)</f>
        <v>#N/A</v>
      </c>
      <c r="E25" s="31" t="s">
        <v>586</v>
      </c>
    </row>
    <row r="27" spans="1:9" ht="42" customHeight="1">
      <c r="B27" s="33"/>
      <c r="C27" s="34"/>
      <c r="D27" s="34"/>
      <c r="E27" s="34"/>
      <c r="F27" s="34"/>
      <c r="G27" s="34"/>
      <c r="H27" s="25"/>
      <c r="I27" s="25"/>
    </row>
    <row r="28" spans="1:9" ht="36" customHeight="1">
      <c r="B28" s="33"/>
      <c r="C28" s="34"/>
      <c r="D28" s="34"/>
      <c r="E28" s="34"/>
      <c r="F28" s="34"/>
      <c r="G28" s="34"/>
    </row>
  </sheetData>
  <dataConsolidate/>
  <mergeCells count="3">
    <mergeCell ref="A1:C1"/>
    <mergeCell ref="B27:G27"/>
    <mergeCell ref="B28:G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85725</xdr:colOff>
                    <xdr:row>2</xdr:row>
                    <xdr:rowOff>76200</xdr:rowOff>
                  </from>
                  <to>
                    <xdr:col>7</xdr:col>
                    <xdr:colOff>38100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Button3_Click">
                <anchor moveWithCells="1" sizeWithCells="1">
                  <from>
                    <xdr:col>4</xdr:col>
                    <xdr:colOff>85725</xdr:colOff>
                    <xdr:row>7</xdr:row>
                    <xdr:rowOff>28575</xdr:rowOff>
                  </from>
                  <to>
                    <xdr:col>7</xdr:col>
                    <xdr:colOff>38100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Button2_Click">
                <anchor moveWithCells="1" sizeWithCells="1">
                  <from>
                    <xdr:col>4</xdr:col>
                    <xdr:colOff>76200</xdr:colOff>
                    <xdr:row>10</xdr:row>
                    <xdr:rowOff>85725</xdr:rowOff>
                  </from>
                  <to>
                    <xdr:col>7</xdr:col>
                    <xdr:colOff>28575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Wrong Country" error="Please Select from Dropdown" promptTitle="Select Country or C.Code" xr:uid="{DAF30ADF-6E3C-476B-901B-5DC3F3B52406}">
          <x14:formula1>
            <xm:f>Countries!$A$2:$A$499</xm:f>
          </x14:formula1>
          <xm:sqref>A3:A25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84D56-59BF-452E-8AD6-2728CF0465CC}">
  <sheetPr codeName="Sheet3">
    <tabColor theme="0" tint="-0.499984740745262"/>
  </sheetPr>
  <dimension ref="B2:C13"/>
  <sheetViews>
    <sheetView workbookViewId="0">
      <selection activeCell="B16" sqref="B16"/>
    </sheetView>
  </sheetViews>
  <sheetFormatPr defaultRowHeight="12.75"/>
  <cols>
    <col min="2" max="2" width="12" customWidth="1"/>
    <col min="3" max="3" width="0" hidden="1" customWidth="1"/>
  </cols>
  <sheetData>
    <row r="2" spans="2:3">
      <c r="B2" s="1" t="s">
        <v>12</v>
      </c>
      <c r="C2" s="2" t="s">
        <v>13</v>
      </c>
    </row>
    <row r="3" spans="2:3">
      <c r="B3" s="1" t="s">
        <v>14</v>
      </c>
      <c r="C3" s="1" t="s">
        <v>15</v>
      </c>
    </row>
    <row r="5" spans="2:3">
      <c r="B5" s="1" t="s">
        <v>16</v>
      </c>
      <c r="C5" s="2" t="s">
        <v>17</v>
      </c>
    </row>
    <row r="6" spans="2:3">
      <c r="B6" s="1" t="s">
        <v>18</v>
      </c>
      <c r="C6" s="2" t="s">
        <v>19</v>
      </c>
    </row>
    <row r="8" spans="2:3">
      <c r="B8" s="1" t="s">
        <v>20</v>
      </c>
      <c r="C8" s="1" t="s">
        <v>21</v>
      </c>
    </row>
    <row r="10" spans="2:3">
      <c r="B10" s="1" t="s">
        <v>26</v>
      </c>
      <c r="C10" s="1" t="s">
        <v>27</v>
      </c>
    </row>
    <row r="11" spans="2:3">
      <c r="B11" s="1" t="s">
        <v>25</v>
      </c>
      <c r="C11" s="1" t="s">
        <v>28</v>
      </c>
    </row>
    <row r="13" spans="2:3">
      <c r="B13" s="1" t="s">
        <v>84</v>
      </c>
      <c r="C13" s="2" t="s">
        <v>85</v>
      </c>
    </row>
  </sheetData>
  <sheetProtection algorithmName="SHA-512" hashValue="RKtod5/NTXJVpnHb2KzPG2fpedWI9k/Erxcaf8o2Y2D4lE/iI6D2rtiEIFODSe5R6P5VHduFtBUvYisvv1z/fA==" saltValue="fau8ZUq/C5MW5qcrDFqhdw==" spinCount="100000" sheet="1" objects="1" scenarios="1" selectLockedCells="1" selectUnlockedCells="1"/>
  <hyperlinks>
    <hyperlink ref="C2" r:id="rId1" xr:uid="{5501DC3D-E7A8-4065-B6D8-63802CADC514}"/>
    <hyperlink ref="C5" r:id="rId2" xr:uid="{6CA29622-7B15-4462-84A1-14BB1175F58C}"/>
    <hyperlink ref="C6" r:id="rId3" xr:uid="{6B9729D4-E908-45AC-BBC0-3ED2D05C619A}"/>
    <hyperlink ref="C13" r:id="rId4" xr:uid="{E50A8FE8-8774-4AD1-BB79-73CF5F5A396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2C15B-35F8-4F22-A5AA-33A754B9E147}">
  <sheetPr codeName="Sheet4"/>
  <dimension ref="A1:B499"/>
  <sheetViews>
    <sheetView workbookViewId="0">
      <selection activeCell="B513" sqref="B513"/>
    </sheetView>
  </sheetViews>
  <sheetFormatPr defaultRowHeight="12.75"/>
  <cols>
    <col min="1" max="1" width="52.28515625" bestFit="1" customWidth="1"/>
  </cols>
  <sheetData>
    <row r="1" spans="1:2">
      <c r="A1" s="29" t="s">
        <v>86</v>
      </c>
      <c r="B1" t="s">
        <v>87</v>
      </c>
    </row>
    <row r="2" spans="1:2">
      <c r="A2" s="29" t="s">
        <v>88</v>
      </c>
      <c r="B2" t="s">
        <v>89</v>
      </c>
    </row>
    <row r="3" spans="1:2">
      <c r="A3" s="29" t="s">
        <v>90</v>
      </c>
      <c r="B3" t="s">
        <v>91</v>
      </c>
    </row>
    <row r="4" spans="1:2">
      <c r="A4" s="29" t="s">
        <v>92</v>
      </c>
      <c r="B4" t="s">
        <v>93</v>
      </c>
    </row>
    <row r="5" spans="1:2">
      <c r="A5" s="29" t="s">
        <v>94</v>
      </c>
      <c r="B5" t="s">
        <v>95</v>
      </c>
    </row>
    <row r="6" spans="1:2">
      <c r="A6" s="29" t="s">
        <v>96</v>
      </c>
      <c r="B6" t="s">
        <v>97</v>
      </c>
    </row>
    <row r="7" spans="1:2">
      <c r="A7" s="29" t="s">
        <v>98</v>
      </c>
      <c r="B7" t="s">
        <v>99</v>
      </c>
    </row>
    <row r="8" spans="1:2">
      <c r="A8" s="29" t="s">
        <v>100</v>
      </c>
      <c r="B8" t="s">
        <v>101</v>
      </c>
    </row>
    <row r="9" spans="1:2">
      <c r="A9" s="29" t="s">
        <v>102</v>
      </c>
      <c r="B9" t="s">
        <v>103</v>
      </c>
    </row>
    <row r="10" spans="1:2">
      <c r="A10" s="29" t="s">
        <v>104</v>
      </c>
      <c r="B10" t="s">
        <v>105</v>
      </c>
    </row>
    <row r="11" spans="1:2">
      <c r="A11" s="29" t="s">
        <v>106</v>
      </c>
      <c r="B11" t="s">
        <v>107</v>
      </c>
    </row>
    <row r="12" spans="1:2">
      <c r="A12" s="29" t="s">
        <v>108</v>
      </c>
      <c r="B12" t="s">
        <v>109</v>
      </c>
    </row>
    <row r="13" spans="1:2">
      <c r="A13" s="29" t="s">
        <v>110</v>
      </c>
      <c r="B13" t="s">
        <v>111</v>
      </c>
    </row>
    <row r="14" spans="1:2">
      <c r="A14" s="29" t="s">
        <v>112</v>
      </c>
      <c r="B14" t="s">
        <v>113</v>
      </c>
    </row>
    <row r="15" spans="1:2">
      <c r="A15" s="29" t="s">
        <v>114</v>
      </c>
      <c r="B15" t="s">
        <v>115</v>
      </c>
    </row>
    <row r="16" spans="1:2">
      <c r="A16" s="29" t="s">
        <v>116</v>
      </c>
      <c r="B16" t="s">
        <v>117</v>
      </c>
    </row>
    <row r="17" spans="1:2">
      <c r="A17" s="29" t="s">
        <v>118</v>
      </c>
      <c r="B17" t="s">
        <v>119</v>
      </c>
    </row>
    <row r="18" spans="1:2">
      <c r="A18" s="29" t="s">
        <v>120</v>
      </c>
      <c r="B18" t="s">
        <v>121</v>
      </c>
    </row>
    <row r="19" spans="1:2">
      <c r="A19" s="29" t="s">
        <v>122</v>
      </c>
      <c r="B19" t="s">
        <v>123</v>
      </c>
    </row>
    <row r="20" spans="1:2">
      <c r="A20" s="29" t="s">
        <v>124</v>
      </c>
      <c r="B20" t="s">
        <v>125</v>
      </c>
    </row>
    <row r="21" spans="1:2">
      <c r="A21" s="29" t="s">
        <v>126</v>
      </c>
      <c r="B21" t="s">
        <v>127</v>
      </c>
    </row>
    <row r="22" spans="1:2">
      <c r="A22" s="29" t="s">
        <v>128</v>
      </c>
      <c r="B22" t="s">
        <v>129</v>
      </c>
    </row>
    <row r="23" spans="1:2">
      <c r="A23" s="29" t="s">
        <v>130</v>
      </c>
      <c r="B23" t="s">
        <v>131</v>
      </c>
    </row>
    <row r="24" spans="1:2">
      <c r="A24" s="29" t="s">
        <v>132</v>
      </c>
      <c r="B24" t="s">
        <v>133</v>
      </c>
    </row>
    <row r="25" spans="1:2">
      <c r="A25" s="29" t="s">
        <v>134</v>
      </c>
      <c r="B25" t="s">
        <v>135</v>
      </c>
    </row>
    <row r="26" spans="1:2">
      <c r="A26" s="29" t="s">
        <v>136</v>
      </c>
      <c r="B26" t="s">
        <v>137</v>
      </c>
    </row>
    <row r="27" spans="1:2">
      <c r="A27" s="29" t="s">
        <v>138</v>
      </c>
      <c r="B27" t="s">
        <v>139</v>
      </c>
    </row>
    <row r="28" spans="1:2">
      <c r="A28" s="29" t="s">
        <v>140</v>
      </c>
      <c r="B28" t="s">
        <v>141</v>
      </c>
    </row>
    <row r="29" spans="1:2">
      <c r="A29" s="29" t="s">
        <v>142</v>
      </c>
      <c r="B29" t="s">
        <v>143</v>
      </c>
    </row>
    <row r="30" spans="1:2">
      <c r="A30" s="29" t="s">
        <v>144</v>
      </c>
      <c r="B30" t="s">
        <v>145</v>
      </c>
    </row>
    <row r="31" spans="1:2">
      <c r="A31" s="29" t="s">
        <v>146</v>
      </c>
      <c r="B31" t="s">
        <v>147</v>
      </c>
    </row>
    <row r="32" spans="1:2">
      <c r="A32" s="29" t="s">
        <v>148</v>
      </c>
      <c r="B32" t="s">
        <v>149</v>
      </c>
    </row>
    <row r="33" spans="1:2">
      <c r="A33" s="29" t="s">
        <v>150</v>
      </c>
      <c r="B33" t="s">
        <v>151</v>
      </c>
    </row>
    <row r="34" spans="1:2">
      <c r="A34" s="29" t="s">
        <v>152</v>
      </c>
      <c r="B34" t="s">
        <v>153</v>
      </c>
    </row>
    <row r="35" spans="1:2">
      <c r="A35" s="29" t="s">
        <v>154</v>
      </c>
      <c r="B35" t="s">
        <v>155</v>
      </c>
    </row>
    <row r="36" spans="1:2">
      <c r="A36" s="29" t="s">
        <v>156</v>
      </c>
      <c r="B36" t="s">
        <v>157</v>
      </c>
    </row>
    <row r="37" spans="1:2">
      <c r="A37" s="29" t="s">
        <v>158</v>
      </c>
      <c r="B37" t="s">
        <v>159</v>
      </c>
    </row>
    <row r="38" spans="1:2">
      <c r="A38" s="29" t="s">
        <v>160</v>
      </c>
      <c r="B38" t="s">
        <v>161</v>
      </c>
    </row>
    <row r="39" spans="1:2">
      <c r="A39" s="29" t="s">
        <v>162</v>
      </c>
      <c r="B39" t="s">
        <v>163</v>
      </c>
    </row>
    <row r="40" spans="1:2">
      <c r="A40" s="29" t="s">
        <v>164</v>
      </c>
      <c r="B40" t="s">
        <v>165</v>
      </c>
    </row>
    <row r="41" spans="1:2">
      <c r="A41" s="29" t="s">
        <v>166</v>
      </c>
      <c r="B41" t="s">
        <v>167</v>
      </c>
    </row>
    <row r="42" spans="1:2">
      <c r="A42" s="29" t="s">
        <v>168</v>
      </c>
      <c r="B42" t="s">
        <v>169</v>
      </c>
    </row>
    <row r="43" spans="1:2">
      <c r="A43" s="29" t="s">
        <v>170</v>
      </c>
      <c r="B43" t="s">
        <v>171</v>
      </c>
    </row>
    <row r="44" spans="1:2">
      <c r="A44" s="29" t="s">
        <v>172</v>
      </c>
      <c r="B44" t="s">
        <v>173</v>
      </c>
    </row>
    <row r="45" spans="1:2">
      <c r="A45" s="29" t="s">
        <v>174</v>
      </c>
      <c r="B45" t="s">
        <v>175</v>
      </c>
    </row>
    <row r="46" spans="1:2">
      <c r="A46" s="29" t="s">
        <v>176</v>
      </c>
      <c r="B46" t="s">
        <v>177</v>
      </c>
    </row>
    <row r="47" spans="1:2">
      <c r="A47" s="29" t="s">
        <v>178</v>
      </c>
      <c r="B47" t="s">
        <v>179</v>
      </c>
    </row>
    <row r="48" spans="1:2">
      <c r="A48" s="29" t="s">
        <v>180</v>
      </c>
      <c r="B48" t="s">
        <v>181</v>
      </c>
    </row>
    <row r="49" spans="1:2">
      <c r="A49" s="29" t="s">
        <v>182</v>
      </c>
      <c r="B49" t="s">
        <v>183</v>
      </c>
    </row>
    <row r="50" spans="1:2">
      <c r="A50" s="29" t="s">
        <v>184</v>
      </c>
      <c r="B50" t="s">
        <v>185</v>
      </c>
    </row>
    <row r="51" spans="1:2">
      <c r="A51" s="29" t="s">
        <v>186</v>
      </c>
      <c r="B51" t="s">
        <v>187</v>
      </c>
    </row>
    <row r="52" spans="1:2">
      <c r="A52" s="29" t="s">
        <v>188</v>
      </c>
      <c r="B52" t="s">
        <v>189</v>
      </c>
    </row>
    <row r="53" spans="1:2">
      <c r="A53" s="29" t="s">
        <v>190</v>
      </c>
      <c r="B53" t="s">
        <v>191</v>
      </c>
    </row>
    <row r="54" spans="1:2">
      <c r="A54" s="29" t="s">
        <v>192</v>
      </c>
      <c r="B54" t="s">
        <v>193</v>
      </c>
    </row>
    <row r="55" spans="1:2">
      <c r="A55" s="29" t="s">
        <v>194</v>
      </c>
      <c r="B55" t="s">
        <v>195</v>
      </c>
    </row>
    <row r="56" spans="1:2">
      <c r="A56" s="29" t="s">
        <v>196</v>
      </c>
      <c r="B56" t="s">
        <v>197</v>
      </c>
    </row>
    <row r="57" spans="1:2">
      <c r="A57" s="29" t="s">
        <v>198</v>
      </c>
      <c r="B57" t="s">
        <v>199</v>
      </c>
    </row>
    <row r="58" spans="1:2">
      <c r="A58" s="29" t="s">
        <v>200</v>
      </c>
      <c r="B58" t="s">
        <v>201</v>
      </c>
    </row>
    <row r="59" spans="1:2">
      <c r="A59" s="29" t="s">
        <v>202</v>
      </c>
      <c r="B59" t="s">
        <v>203</v>
      </c>
    </row>
    <row r="60" spans="1:2">
      <c r="A60" s="29" t="s">
        <v>204</v>
      </c>
      <c r="B60" t="s">
        <v>205</v>
      </c>
    </row>
    <row r="61" spans="1:2">
      <c r="A61" s="29" t="s">
        <v>206</v>
      </c>
      <c r="B61" t="s">
        <v>207</v>
      </c>
    </row>
    <row r="62" spans="1:2">
      <c r="A62" s="29" t="s">
        <v>208</v>
      </c>
      <c r="B62" t="s">
        <v>209</v>
      </c>
    </row>
    <row r="63" spans="1:2">
      <c r="A63" s="29" t="s">
        <v>210</v>
      </c>
      <c r="B63" t="s">
        <v>211</v>
      </c>
    </row>
    <row r="64" spans="1:2">
      <c r="A64" s="29" t="s">
        <v>212</v>
      </c>
      <c r="B64" t="s">
        <v>213</v>
      </c>
    </row>
    <row r="65" spans="1:2">
      <c r="A65" s="29" t="s">
        <v>214</v>
      </c>
      <c r="B65" t="s">
        <v>215</v>
      </c>
    </row>
    <row r="66" spans="1:2">
      <c r="A66" s="29" t="s">
        <v>216</v>
      </c>
      <c r="B66" t="s">
        <v>217</v>
      </c>
    </row>
    <row r="67" spans="1:2">
      <c r="A67" s="29" t="s">
        <v>218</v>
      </c>
      <c r="B67" t="s">
        <v>219</v>
      </c>
    </row>
    <row r="68" spans="1:2">
      <c r="A68" s="29" t="s">
        <v>220</v>
      </c>
      <c r="B68" t="s">
        <v>221</v>
      </c>
    </row>
    <row r="69" spans="1:2">
      <c r="A69" s="29" t="s">
        <v>222</v>
      </c>
      <c r="B69" t="s">
        <v>223</v>
      </c>
    </row>
    <row r="70" spans="1:2">
      <c r="A70" s="29" t="s">
        <v>224</v>
      </c>
      <c r="B70" t="s">
        <v>225</v>
      </c>
    </row>
    <row r="71" spans="1:2">
      <c r="A71" s="29" t="s">
        <v>226</v>
      </c>
      <c r="B71" t="s">
        <v>227</v>
      </c>
    </row>
    <row r="72" spans="1:2">
      <c r="A72" s="29" t="s">
        <v>228</v>
      </c>
      <c r="B72" t="s">
        <v>229</v>
      </c>
    </row>
    <row r="73" spans="1:2">
      <c r="A73" s="29" t="s">
        <v>230</v>
      </c>
      <c r="B73" t="s">
        <v>231</v>
      </c>
    </row>
    <row r="74" spans="1:2">
      <c r="A74" s="29" t="s">
        <v>232</v>
      </c>
      <c r="B74" t="s">
        <v>233</v>
      </c>
    </row>
    <row r="75" spans="1:2">
      <c r="A75" s="29" t="s">
        <v>234</v>
      </c>
      <c r="B75" t="s">
        <v>235</v>
      </c>
    </row>
    <row r="76" spans="1:2">
      <c r="A76" s="29" t="s">
        <v>236</v>
      </c>
      <c r="B76" t="s">
        <v>237</v>
      </c>
    </row>
    <row r="77" spans="1:2">
      <c r="A77" s="29" t="s">
        <v>238</v>
      </c>
      <c r="B77" t="s">
        <v>239</v>
      </c>
    </row>
    <row r="78" spans="1:2">
      <c r="A78" s="29" t="s">
        <v>240</v>
      </c>
      <c r="B78" t="s">
        <v>241</v>
      </c>
    </row>
    <row r="79" spans="1:2">
      <c r="A79" s="29" t="s">
        <v>242</v>
      </c>
      <c r="B79" t="s">
        <v>243</v>
      </c>
    </row>
    <row r="80" spans="1:2">
      <c r="A80" s="29" t="s">
        <v>244</v>
      </c>
      <c r="B80" t="s">
        <v>245</v>
      </c>
    </row>
    <row r="81" spans="1:2">
      <c r="A81" s="29" t="s">
        <v>246</v>
      </c>
      <c r="B81" t="s">
        <v>247</v>
      </c>
    </row>
    <row r="82" spans="1:2">
      <c r="A82" s="29" t="s">
        <v>248</v>
      </c>
      <c r="B82" t="s">
        <v>249</v>
      </c>
    </row>
    <row r="83" spans="1:2">
      <c r="A83" s="29" t="s">
        <v>250</v>
      </c>
      <c r="B83" t="s">
        <v>251</v>
      </c>
    </row>
    <row r="84" spans="1:2">
      <c r="A84" s="29" t="s">
        <v>252</v>
      </c>
      <c r="B84" t="s">
        <v>253</v>
      </c>
    </row>
    <row r="85" spans="1:2">
      <c r="A85" s="29" t="s">
        <v>254</v>
      </c>
      <c r="B85" t="s">
        <v>255</v>
      </c>
    </row>
    <row r="86" spans="1:2">
      <c r="A86" s="29" t="s">
        <v>256</v>
      </c>
      <c r="B86" t="s">
        <v>257</v>
      </c>
    </row>
    <row r="87" spans="1:2">
      <c r="A87" s="29" t="s">
        <v>258</v>
      </c>
      <c r="B87" t="s">
        <v>259</v>
      </c>
    </row>
    <row r="88" spans="1:2">
      <c r="A88" s="29" t="s">
        <v>260</v>
      </c>
      <c r="B88" t="s">
        <v>261</v>
      </c>
    </row>
    <row r="89" spans="1:2">
      <c r="A89" s="29" t="s">
        <v>262</v>
      </c>
      <c r="B89" t="s">
        <v>263</v>
      </c>
    </row>
    <row r="90" spans="1:2">
      <c r="A90" s="29" t="s">
        <v>264</v>
      </c>
      <c r="B90" t="s">
        <v>265</v>
      </c>
    </row>
    <row r="91" spans="1:2">
      <c r="A91" s="29" t="s">
        <v>266</v>
      </c>
      <c r="B91" t="s">
        <v>267</v>
      </c>
    </row>
    <row r="92" spans="1:2">
      <c r="A92" s="29" t="s">
        <v>268</v>
      </c>
      <c r="B92" t="s">
        <v>269</v>
      </c>
    </row>
    <row r="93" spans="1:2">
      <c r="A93" s="29" t="s">
        <v>270</v>
      </c>
      <c r="B93" t="s">
        <v>271</v>
      </c>
    </row>
    <row r="94" spans="1:2">
      <c r="A94" s="29" t="s">
        <v>272</v>
      </c>
      <c r="B94" t="s">
        <v>273</v>
      </c>
    </row>
    <row r="95" spans="1:2">
      <c r="A95" s="29" t="s">
        <v>274</v>
      </c>
      <c r="B95" t="s">
        <v>275</v>
      </c>
    </row>
    <row r="96" spans="1:2">
      <c r="A96" s="29" t="s">
        <v>276</v>
      </c>
      <c r="B96" t="s">
        <v>277</v>
      </c>
    </row>
    <row r="97" spans="1:2">
      <c r="A97" s="29" t="s">
        <v>278</v>
      </c>
      <c r="B97" t="s">
        <v>279</v>
      </c>
    </row>
    <row r="98" spans="1:2">
      <c r="A98" s="29" t="s">
        <v>280</v>
      </c>
      <c r="B98" t="s">
        <v>281</v>
      </c>
    </row>
    <row r="99" spans="1:2">
      <c r="A99" s="29" t="s">
        <v>282</v>
      </c>
      <c r="B99" t="s">
        <v>283</v>
      </c>
    </row>
    <row r="100" spans="1:2">
      <c r="A100" s="29" t="s">
        <v>284</v>
      </c>
      <c r="B100" t="s">
        <v>285</v>
      </c>
    </row>
    <row r="101" spans="1:2">
      <c r="A101" s="29" t="s">
        <v>286</v>
      </c>
      <c r="B101" t="s">
        <v>287</v>
      </c>
    </row>
    <row r="102" spans="1:2">
      <c r="A102" s="29" t="s">
        <v>288</v>
      </c>
      <c r="B102" t="s">
        <v>289</v>
      </c>
    </row>
    <row r="103" spans="1:2">
      <c r="A103" s="29" t="s">
        <v>290</v>
      </c>
      <c r="B103" t="s">
        <v>291</v>
      </c>
    </row>
    <row r="104" spans="1:2">
      <c r="A104" s="29" t="s">
        <v>292</v>
      </c>
      <c r="B104" t="s">
        <v>293</v>
      </c>
    </row>
    <row r="105" spans="1:2">
      <c r="A105" s="29" t="s">
        <v>294</v>
      </c>
      <c r="B105" t="s">
        <v>295</v>
      </c>
    </row>
    <row r="106" spans="1:2">
      <c r="A106" s="29" t="s">
        <v>296</v>
      </c>
      <c r="B106" t="s">
        <v>297</v>
      </c>
    </row>
    <row r="107" spans="1:2">
      <c r="A107" s="29" t="s">
        <v>298</v>
      </c>
      <c r="B107" t="s">
        <v>299</v>
      </c>
    </row>
    <row r="108" spans="1:2">
      <c r="A108" s="29" t="s">
        <v>300</v>
      </c>
      <c r="B108" t="s">
        <v>301</v>
      </c>
    </row>
    <row r="109" spans="1:2">
      <c r="A109" s="29" t="s">
        <v>302</v>
      </c>
      <c r="B109" t="s">
        <v>303</v>
      </c>
    </row>
    <row r="110" spans="1:2">
      <c r="A110" s="29" t="s">
        <v>304</v>
      </c>
      <c r="B110" t="s">
        <v>305</v>
      </c>
    </row>
    <row r="111" spans="1:2">
      <c r="A111" s="29" t="s">
        <v>306</v>
      </c>
      <c r="B111" t="s">
        <v>307</v>
      </c>
    </row>
    <row r="112" spans="1:2">
      <c r="A112" s="29" t="s">
        <v>308</v>
      </c>
      <c r="B112" t="s">
        <v>309</v>
      </c>
    </row>
    <row r="113" spans="1:2">
      <c r="A113" s="29" t="s">
        <v>310</v>
      </c>
      <c r="B113" t="s">
        <v>311</v>
      </c>
    </row>
    <row r="114" spans="1:2">
      <c r="A114" s="29" t="s">
        <v>312</v>
      </c>
      <c r="B114" t="s">
        <v>313</v>
      </c>
    </row>
    <row r="115" spans="1:2">
      <c r="A115" s="29" t="s">
        <v>314</v>
      </c>
      <c r="B115" t="s">
        <v>315</v>
      </c>
    </row>
    <row r="116" spans="1:2">
      <c r="A116" s="29" t="s">
        <v>316</v>
      </c>
      <c r="B116" t="s">
        <v>317</v>
      </c>
    </row>
    <row r="117" spans="1:2">
      <c r="A117" s="29" t="s">
        <v>318</v>
      </c>
      <c r="B117" t="s">
        <v>319</v>
      </c>
    </row>
    <row r="118" spans="1:2">
      <c r="A118" s="29" t="s">
        <v>320</v>
      </c>
      <c r="B118" t="s">
        <v>321</v>
      </c>
    </row>
    <row r="119" spans="1:2">
      <c r="A119" s="29" t="s">
        <v>322</v>
      </c>
      <c r="B119" t="s">
        <v>323</v>
      </c>
    </row>
    <row r="120" spans="1:2">
      <c r="A120" s="29" t="s">
        <v>324</v>
      </c>
      <c r="B120" t="s">
        <v>325</v>
      </c>
    </row>
    <row r="121" spans="1:2">
      <c r="A121" s="29" t="s">
        <v>326</v>
      </c>
      <c r="B121" t="s">
        <v>327</v>
      </c>
    </row>
    <row r="122" spans="1:2">
      <c r="A122" s="29" t="s">
        <v>328</v>
      </c>
      <c r="B122" t="s">
        <v>329</v>
      </c>
    </row>
    <row r="123" spans="1:2">
      <c r="A123" s="29" t="s">
        <v>330</v>
      </c>
      <c r="B123" t="s">
        <v>331</v>
      </c>
    </row>
    <row r="124" spans="1:2">
      <c r="A124" s="29" t="s">
        <v>332</v>
      </c>
      <c r="B124" t="s">
        <v>333</v>
      </c>
    </row>
    <row r="125" spans="1:2">
      <c r="A125" s="29" t="s">
        <v>334</v>
      </c>
      <c r="B125" t="s">
        <v>335</v>
      </c>
    </row>
    <row r="126" spans="1:2">
      <c r="A126" s="29" t="s">
        <v>336</v>
      </c>
      <c r="B126" t="s">
        <v>337</v>
      </c>
    </row>
    <row r="127" spans="1:2">
      <c r="A127" s="29" t="s">
        <v>338</v>
      </c>
      <c r="B127" t="s">
        <v>339</v>
      </c>
    </row>
    <row r="128" spans="1:2">
      <c r="A128" s="29" t="s">
        <v>340</v>
      </c>
      <c r="B128" t="s">
        <v>341</v>
      </c>
    </row>
    <row r="129" spans="1:2">
      <c r="A129" s="29" t="s">
        <v>342</v>
      </c>
      <c r="B129" t="s">
        <v>343</v>
      </c>
    </row>
    <row r="130" spans="1:2">
      <c r="A130" s="29" t="s">
        <v>344</v>
      </c>
      <c r="B130" t="s">
        <v>345</v>
      </c>
    </row>
    <row r="131" spans="1:2">
      <c r="A131" s="29" t="s">
        <v>346</v>
      </c>
      <c r="B131" t="s">
        <v>347</v>
      </c>
    </row>
    <row r="132" spans="1:2">
      <c r="A132" s="29" t="s">
        <v>348</v>
      </c>
      <c r="B132" t="s">
        <v>349</v>
      </c>
    </row>
    <row r="133" spans="1:2">
      <c r="A133" s="29" t="s">
        <v>350</v>
      </c>
      <c r="B133" t="s">
        <v>351</v>
      </c>
    </row>
    <row r="134" spans="1:2">
      <c r="A134" s="29" t="s">
        <v>352</v>
      </c>
      <c r="B134" t="s">
        <v>353</v>
      </c>
    </row>
    <row r="135" spans="1:2">
      <c r="A135" s="29" t="s">
        <v>354</v>
      </c>
      <c r="B135" t="s">
        <v>355</v>
      </c>
    </row>
    <row r="136" spans="1:2">
      <c r="A136" s="29" t="s">
        <v>356</v>
      </c>
      <c r="B136" t="s">
        <v>357</v>
      </c>
    </row>
    <row r="137" spans="1:2">
      <c r="A137" s="29" t="s">
        <v>358</v>
      </c>
      <c r="B137" t="s">
        <v>359</v>
      </c>
    </row>
    <row r="138" spans="1:2">
      <c r="A138" s="29" t="s">
        <v>360</v>
      </c>
      <c r="B138" t="s">
        <v>361</v>
      </c>
    </row>
    <row r="139" spans="1:2">
      <c r="A139" s="29" t="s">
        <v>362</v>
      </c>
      <c r="B139" t="s">
        <v>363</v>
      </c>
    </row>
    <row r="140" spans="1:2">
      <c r="A140" s="29" t="s">
        <v>364</v>
      </c>
      <c r="B140" t="s">
        <v>365</v>
      </c>
    </row>
    <row r="141" spans="1:2">
      <c r="A141" s="29" t="s">
        <v>366</v>
      </c>
      <c r="B141" t="s">
        <v>367</v>
      </c>
    </row>
    <row r="142" spans="1:2">
      <c r="A142" s="29" t="s">
        <v>368</v>
      </c>
      <c r="B142" t="s">
        <v>369</v>
      </c>
    </row>
    <row r="143" spans="1:2">
      <c r="A143" s="29" t="s">
        <v>370</v>
      </c>
      <c r="B143" t="s">
        <v>371</v>
      </c>
    </row>
    <row r="144" spans="1:2">
      <c r="A144" s="29" t="s">
        <v>372</v>
      </c>
      <c r="B144" t="s">
        <v>373</v>
      </c>
    </row>
    <row r="145" spans="1:2">
      <c r="A145" s="29" t="s">
        <v>374</v>
      </c>
      <c r="B145" t="s">
        <v>375</v>
      </c>
    </row>
    <row r="146" spans="1:2">
      <c r="A146" s="29" t="s">
        <v>376</v>
      </c>
      <c r="B146" t="s">
        <v>377</v>
      </c>
    </row>
    <row r="147" spans="1:2">
      <c r="A147" s="29" t="s">
        <v>378</v>
      </c>
      <c r="B147" t="s">
        <v>379</v>
      </c>
    </row>
    <row r="148" spans="1:2">
      <c r="A148" s="29" t="s">
        <v>380</v>
      </c>
      <c r="B148" t="s">
        <v>381</v>
      </c>
    </row>
    <row r="149" spans="1:2">
      <c r="A149" s="29" t="s">
        <v>382</v>
      </c>
      <c r="B149" t="s">
        <v>383</v>
      </c>
    </row>
    <row r="150" spans="1:2">
      <c r="A150" s="29" t="s">
        <v>384</v>
      </c>
      <c r="B150" t="s">
        <v>385</v>
      </c>
    </row>
    <row r="151" spans="1:2">
      <c r="A151" s="29" t="s">
        <v>386</v>
      </c>
      <c r="B151" t="s">
        <v>387</v>
      </c>
    </row>
    <row r="152" spans="1:2">
      <c r="A152" s="29" t="s">
        <v>388</v>
      </c>
      <c r="B152" t="s">
        <v>389</v>
      </c>
    </row>
    <row r="153" spans="1:2">
      <c r="A153" s="29" t="s">
        <v>390</v>
      </c>
      <c r="B153" t="s">
        <v>391</v>
      </c>
    </row>
    <row r="154" spans="1:2">
      <c r="A154" s="29" t="s">
        <v>392</v>
      </c>
      <c r="B154" t="s">
        <v>393</v>
      </c>
    </row>
    <row r="155" spans="1:2">
      <c r="A155" s="29" t="s">
        <v>394</v>
      </c>
      <c r="B155" t="s">
        <v>395</v>
      </c>
    </row>
    <row r="156" spans="1:2">
      <c r="A156" s="29" t="s">
        <v>396</v>
      </c>
      <c r="B156" t="s">
        <v>397</v>
      </c>
    </row>
    <row r="157" spans="1:2">
      <c r="A157" s="29" t="s">
        <v>398</v>
      </c>
      <c r="B157" t="s">
        <v>399</v>
      </c>
    </row>
    <row r="158" spans="1:2">
      <c r="A158" s="29" t="s">
        <v>400</v>
      </c>
      <c r="B158" t="s">
        <v>401</v>
      </c>
    </row>
    <row r="159" spans="1:2">
      <c r="A159" s="29" t="s">
        <v>402</v>
      </c>
      <c r="B159" t="s">
        <v>403</v>
      </c>
    </row>
    <row r="160" spans="1:2">
      <c r="A160" s="29" t="s">
        <v>404</v>
      </c>
      <c r="B160" t="s">
        <v>405</v>
      </c>
    </row>
    <row r="161" spans="1:2">
      <c r="A161" s="29" t="s">
        <v>406</v>
      </c>
      <c r="B161" t="s">
        <v>407</v>
      </c>
    </row>
    <row r="162" spans="1:2">
      <c r="A162" s="29" t="s">
        <v>408</v>
      </c>
      <c r="B162" t="s">
        <v>409</v>
      </c>
    </row>
    <row r="163" spans="1:2">
      <c r="A163" s="29" t="s">
        <v>410</v>
      </c>
      <c r="B163" t="s">
        <v>411</v>
      </c>
    </row>
    <row r="164" spans="1:2">
      <c r="A164" s="29" t="s">
        <v>412</v>
      </c>
      <c r="B164" t="s">
        <v>413</v>
      </c>
    </row>
    <row r="165" spans="1:2">
      <c r="A165" s="29" t="s">
        <v>414</v>
      </c>
      <c r="B165" t="s">
        <v>415</v>
      </c>
    </row>
    <row r="166" spans="1:2">
      <c r="A166" s="29" t="s">
        <v>416</v>
      </c>
      <c r="B166" t="s">
        <v>417</v>
      </c>
    </row>
    <row r="167" spans="1:2">
      <c r="A167" s="29" t="s">
        <v>418</v>
      </c>
      <c r="B167" t="s">
        <v>419</v>
      </c>
    </row>
    <row r="168" spans="1:2">
      <c r="A168" s="29" t="s">
        <v>420</v>
      </c>
      <c r="B168" t="s">
        <v>421</v>
      </c>
    </row>
    <row r="169" spans="1:2">
      <c r="A169" s="29" t="s">
        <v>422</v>
      </c>
      <c r="B169" t="s">
        <v>423</v>
      </c>
    </row>
    <row r="170" spans="1:2">
      <c r="A170" s="29" t="s">
        <v>424</v>
      </c>
      <c r="B170" t="s">
        <v>425</v>
      </c>
    </row>
    <row r="171" spans="1:2">
      <c r="A171" s="29" t="s">
        <v>426</v>
      </c>
      <c r="B171" t="s">
        <v>427</v>
      </c>
    </row>
    <row r="172" spans="1:2">
      <c r="A172" s="29" t="s">
        <v>428</v>
      </c>
      <c r="B172" t="s">
        <v>429</v>
      </c>
    </row>
    <row r="173" spans="1:2">
      <c r="A173" s="29" t="s">
        <v>430</v>
      </c>
      <c r="B173" t="s">
        <v>431</v>
      </c>
    </row>
    <row r="174" spans="1:2">
      <c r="A174" s="29" t="s">
        <v>432</v>
      </c>
      <c r="B174" t="s">
        <v>433</v>
      </c>
    </row>
    <row r="175" spans="1:2">
      <c r="A175" s="29" t="s">
        <v>434</v>
      </c>
      <c r="B175" t="s">
        <v>435</v>
      </c>
    </row>
    <row r="176" spans="1:2">
      <c r="A176" s="29" t="s">
        <v>436</v>
      </c>
      <c r="B176" t="s">
        <v>437</v>
      </c>
    </row>
    <row r="177" spans="1:2">
      <c r="A177" s="29" t="s">
        <v>438</v>
      </c>
      <c r="B177" t="s">
        <v>439</v>
      </c>
    </row>
    <row r="178" spans="1:2">
      <c r="A178" s="29" t="s">
        <v>440</v>
      </c>
      <c r="B178" t="s">
        <v>441</v>
      </c>
    </row>
    <row r="179" spans="1:2">
      <c r="A179" s="29" t="s">
        <v>442</v>
      </c>
      <c r="B179" t="s">
        <v>443</v>
      </c>
    </row>
    <row r="180" spans="1:2">
      <c r="A180" s="29" t="s">
        <v>444</v>
      </c>
      <c r="B180" t="s">
        <v>445</v>
      </c>
    </row>
    <row r="181" spans="1:2">
      <c r="A181" s="29" t="s">
        <v>446</v>
      </c>
      <c r="B181" t="s">
        <v>447</v>
      </c>
    </row>
    <row r="182" spans="1:2">
      <c r="A182" s="29" t="s">
        <v>448</v>
      </c>
      <c r="B182" t="s">
        <v>449</v>
      </c>
    </row>
    <row r="183" spans="1:2">
      <c r="A183" s="29" t="s">
        <v>450</v>
      </c>
      <c r="B183" t="s">
        <v>451</v>
      </c>
    </row>
    <row r="184" spans="1:2">
      <c r="A184" s="29" t="s">
        <v>452</v>
      </c>
      <c r="B184" t="s">
        <v>453</v>
      </c>
    </row>
    <row r="185" spans="1:2">
      <c r="A185" s="29" t="s">
        <v>454</v>
      </c>
      <c r="B185" t="s">
        <v>455</v>
      </c>
    </row>
    <row r="186" spans="1:2">
      <c r="A186" s="29" t="s">
        <v>456</v>
      </c>
      <c r="B186" t="s">
        <v>457</v>
      </c>
    </row>
    <row r="187" spans="1:2">
      <c r="A187" s="29" t="s">
        <v>458</v>
      </c>
      <c r="B187" t="s">
        <v>459</v>
      </c>
    </row>
    <row r="188" spans="1:2">
      <c r="A188" s="29" t="s">
        <v>460</v>
      </c>
      <c r="B188" t="s">
        <v>461</v>
      </c>
    </row>
    <row r="189" spans="1:2">
      <c r="A189" s="29" t="s">
        <v>462</v>
      </c>
      <c r="B189" t="s">
        <v>463</v>
      </c>
    </row>
    <row r="190" spans="1:2">
      <c r="A190" s="29" t="s">
        <v>464</v>
      </c>
      <c r="B190" t="s">
        <v>465</v>
      </c>
    </row>
    <row r="191" spans="1:2">
      <c r="A191" s="29" t="s">
        <v>466</v>
      </c>
      <c r="B191" t="s">
        <v>467</v>
      </c>
    </row>
    <row r="192" spans="1:2">
      <c r="A192" s="29" t="s">
        <v>468</v>
      </c>
      <c r="B192" t="s">
        <v>469</v>
      </c>
    </row>
    <row r="193" spans="1:2">
      <c r="A193" s="29" t="s">
        <v>470</v>
      </c>
      <c r="B193" t="s">
        <v>471</v>
      </c>
    </row>
    <row r="194" spans="1:2">
      <c r="A194" s="29" t="s">
        <v>472</v>
      </c>
      <c r="B194" t="s">
        <v>473</v>
      </c>
    </row>
    <row r="195" spans="1:2">
      <c r="A195" s="29" t="s">
        <v>474</v>
      </c>
      <c r="B195" t="s">
        <v>475</v>
      </c>
    </row>
    <row r="196" spans="1:2">
      <c r="A196" s="29" t="s">
        <v>476</v>
      </c>
      <c r="B196" t="s">
        <v>477</v>
      </c>
    </row>
    <row r="197" spans="1:2">
      <c r="A197" s="29" t="s">
        <v>478</v>
      </c>
      <c r="B197" t="s">
        <v>479</v>
      </c>
    </row>
    <row r="198" spans="1:2">
      <c r="A198" s="29" t="s">
        <v>480</v>
      </c>
      <c r="B198" t="s">
        <v>481</v>
      </c>
    </row>
    <row r="199" spans="1:2">
      <c r="A199" s="29" t="s">
        <v>482</v>
      </c>
      <c r="B199" t="s">
        <v>483</v>
      </c>
    </row>
    <row r="200" spans="1:2">
      <c r="A200" s="29" t="s">
        <v>484</v>
      </c>
      <c r="B200" t="s">
        <v>485</v>
      </c>
    </row>
    <row r="201" spans="1:2">
      <c r="A201" s="29" t="s">
        <v>486</v>
      </c>
      <c r="B201" t="s">
        <v>487</v>
      </c>
    </row>
    <row r="202" spans="1:2">
      <c r="A202" s="29" t="s">
        <v>488</v>
      </c>
      <c r="B202" t="s">
        <v>489</v>
      </c>
    </row>
    <row r="203" spans="1:2">
      <c r="A203" s="29" t="s">
        <v>490</v>
      </c>
      <c r="B203" t="s">
        <v>491</v>
      </c>
    </row>
    <row r="204" spans="1:2">
      <c r="A204" s="29" t="s">
        <v>492</v>
      </c>
      <c r="B204" t="s">
        <v>493</v>
      </c>
    </row>
    <row r="205" spans="1:2">
      <c r="A205" s="29" t="s">
        <v>494</v>
      </c>
      <c r="B205" t="s">
        <v>495</v>
      </c>
    </row>
    <row r="206" spans="1:2">
      <c r="A206" s="29" t="s">
        <v>496</v>
      </c>
      <c r="B206" t="s">
        <v>497</v>
      </c>
    </row>
    <row r="207" spans="1:2">
      <c r="A207" s="29" t="s">
        <v>498</v>
      </c>
      <c r="B207" t="s">
        <v>499</v>
      </c>
    </row>
    <row r="208" spans="1:2">
      <c r="A208" s="29" t="s">
        <v>500</v>
      </c>
      <c r="B208" t="s">
        <v>501</v>
      </c>
    </row>
    <row r="209" spans="1:2">
      <c r="A209" s="29" t="s">
        <v>502</v>
      </c>
      <c r="B209" t="s">
        <v>503</v>
      </c>
    </row>
    <row r="210" spans="1:2">
      <c r="A210" s="29" t="s">
        <v>504</v>
      </c>
      <c r="B210" t="s">
        <v>505</v>
      </c>
    </row>
    <row r="211" spans="1:2">
      <c r="A211" s="29" t="s">
        <v>506</v>
      </c>
      <c r="B211" t="s">
        <v>507</v>
      </c>
    </row>
    <row r="212" spans="1:2">
      <c r="A212" s="29" t="s">
        <v>508</v>
      </c>
      <c r="B212" t="s">
        <v>509</v>
      </c>
    </row>
    <row r="213" spans="1:2">
      <c r="A213" s="29" t="s">
        <v>510</v>
      </c>
      <c r="B213" t="s">
        <v>511</v>
      </c>
    </row>
    <row r="214" spans="1:2">
      <c r="A214" s="29" t="s">
        <v>512</v>
      </c>
      <c r="B214" t="s">
        <v>513</v>
      </c>
    </row>
    <row r="215" spans="1:2">
      <c r="A215" s="29" t="s">
        <v>514</v>
      </c>
      <c r="B215" t="s">
        <v>515</v>
      </c>
    </row>
    <row r="216" spans="1:2">
      <c r="A216" s="29" t="s">
        <v>516</v>
      </c>
      <c r="B216" t="s">
        <v>517</v>
      </c>
    </row>
    <row r="217" spans="1:2">
      <c r="A217" s="29" t="s">
        <v>518</v>
      </c>
      <c r="B217" t="s">
        <v>519</v>
      </c>
    </row>
    <row r="218" spans="1:2">
      <c r="A218" s="29" t="s">
        <v>520</v>
      </c>
      <c r="B218" t="s">
        <v>521</v>
      </c>
    </row>
    <row r="219" spans="1:2">
      <c r="A219" s="29" t="s">
        <v>522</v>
      </c>
      <c r="B219" t="s">
        <v>523</v>
      </c>
    </row>
    <row r="220" spans="1:2">
      <c r="A220" s="29" t="s">
        <v>524</v>
      </c>
      <c r="B220" t="s">
        <v>525</v>
      </c>
    </row>
    <row r="221" spans="1:2">
      <c r="A221" s="29" t="s">
        <v>526</v>
      </c>
      <c r="B221" t="s">
        <v>527</v>
      </c>
    </row>
    <row r="222" spans="1:2">
      <c r="A222" s="29" t="s">
        <v>528</v>
      </c>
      <c r="B222" t="s">
        <v>529</v>
      </c>
    </row>
    <row r="223" spans="1:2">
      <c r="A223" s="29" t="s">
        <v>530</v>
      </c>
      <c r="B223" t="s">
        <v>531</v>
      </c>
    </row>
    <row r="224" spans="1:2">
      <c r="A224" s="29" t="s">
        <v>532</v>
      </c>
      <c r="B224" t="s">
        <v>533</v>
      </c>
    </row>
    <row r="225" spans="1:2">
      <c r="A225" s="29" t="s">
        <v>534</v>
      </c>
      <c r="B225" t="s">
        <v>535</v>
      </c>
    </row>
    <row r="226" spans="1:2">
      <c r="A226" s="29" t="s">
        <v>536</v>
      </c>
      <c r="B226" t="s">
        <v>537</v>
      </c>
    </row>
    <row r="227" spans="1:2">
      <c r="A227" s="29" t="s">
        <v>538</v>
      </c>
      <c r="B227" t="s">
        <v>539</v>
      </c>
    </row>
    <row r="228" spans="1:2">
      <c r="A228" s="29" t="s">
        <v>540</v>
      </c>
      <c r="B228" t="s">
        <v>541</v>
      </c>
    </row>
    <row r="229" spans="1:2">
      <c r="A229" s="29" t="s">
        <v>542</v>
      </c>
      <c r="B229" t="s">
        <v>543</v>
      </c>
    </row>
    <row r="230" spans="1:2">
      <c r="A230" s="29" t="s">
        <v>544</v>
      </c>
      <c r="B230" t="s">
        <v>545</v>
      </c>
    </row>
    <row r="231" spans="1:2">
      <c r="A231" s="29" t="s">
        <v>546</v>
      </c>
      <c r="B231" t="s">
        <v>547</v>
      </c>
    </row>
    <row r="232" spans="1:2">
      <c r="A232" s="29" t="s">
        <v>548</v>
      </c>
      <c r="B232" t="s">
        <v>549</v>
      </c>
    </row>
    <row r="233" spans="1:2">
      <c r="A233" s="29" t="s">
        <v>550</v>
      </c>
      <c r="B233" t="s">
        <v>551</v>
      </c>
    </row>
    <row r="234" spans="1:2">
      <c r="A234" s="29" t="s">
        <v>552</v>
      </c>
      <c r="B234" t="s">
        <v>553</v>
      </c>
    </row>
    <row r="235" spans="1:2">
      <c r="A235" s="29" t="s">
        <v>554</v>
      </c>
      <c r="B235" t="s">
        <v>555</v>
      </c>
    </row>
    <row r="236" spans="1:2">
      <c r="A236" s="29" t="s">
        <v>556</v>
      </c>
      <c r="B236" t="s">
        <v>21</v>
      </c>
    </row>
    <row r="237" spans="1:2">
      <c r="A237" s="29" t="s">
        <v>557</v>
      </c>
      <c r="B237" t="s">
        <v>558</v>
      </c>
    </row>
    <row r="238" spans="1:2">
      <c r="A238" s="29" t="s">
        <v>559</v>
      </c>
      <c r="B238" t="s">
        <v>560</v>
      </c>
    </row>
    <row r="239" spans="1:2">
      <c r="A239" s="29" t="s">
        <v>561</v>
      </c>
      <c r="B239" t="s">
        <v>562</v>
      </c>
    </row>
    <row r="240" spans="1:2">
      <c r="A240" s="29" t="s">
        <v>563</v>
      </c>
      <c r="B240" t="s">
        <v>564</v>
      </c>
    </row>
    <row r="241" spans="1:2">
      <c r="A241" s="29" t="s">
        <v>565</v>
      </c>
      <c r="B241" t="s">
        <v>566</v>
      </c>
    </row>
    <row r="242" spans="1:2">
      <c r="A242" s="29" t="s">
        <v>567</v>
      </c>
      <c r="B242" t="s">
        <v>568</v>
      </c>
    </row>
    <row r="243" spans="1:2">
      <c r="A243" s="29" t="s">
        <v>569</v>
      </c>
      <c r="B243" t="s">
        <v>570</v>
      </c>
    </row>
    <row r="244" spans="1:2">
      <c r="A244" s="29" t="s">
        <v>571</v>
      </c>
      <c r="B244" t="s">
        <v>572</v>
      </c>
    </row>
    <row r="245" spans="1:2">
      <c r="A245" s="29" t="s">
        <v>573</v>
      </c>
      <c r="B245" t="s">
        <v>574</v>
      </c>
    </row>
    <row r="246" spans="1:2">
      <c r="A246" s="29" t="s">
        <v>575</v>
      </c>
      <c r="B246" t="s">
        <v>576</v>
      </c>
    </row>
    <row r="247" spans="1:2">
      <c r="A247" s="29" t="s">
        <v>577</v>
      </c>
      <c r="B247" t="s">
        <v>578</v>
      </c>
    </row>
    <row r="248" spans="1:2">
      <c r="A248" s="29" t="s">
        <v>579</v>
      </c>
      <c r="B248" t="s">
        <v>580</v>
      </c>
    </row>
    <row r="249" spans="1:2">
      <c r="A249" s="29" t="s">
        <v>581</v>
      </c>
      <c r="B249" t="s">
        <v>582</v>
      </c>
    </row>
    <row r="250" spans="1:2">
      <c r="A250" s="29" t="s">
        <v>583</v>
      </c>
      <c r="B250" t="s">
        <v>584</v>
      </c>
    </row>
    <row r="251" spans="1:2">
      <c r="A251" t="s">
        <v>89</v>
      </c>
      <c r="B251" t="s">
        <v>89</v>
      </c>
    </row>
    <row r="252" spans="1:2">
      <c r="A252" t="s">
        <v>91</v>
      </c>
      <c r="B252" t="s">
        <v>91</v>
      </c>
    </row>
    <row r="253" spans="1:2">
      <c r="A253" t="s">
        <v>93</v>
      </c>
      <c r="B253" t="s">
        <v>93</v>
      </c>
    </row>
    <row r="254" spans="1:2">
      <c r="A254" t="s">
        <v>95</v>
      </c>
      <c r="B254" t="s">
        <v>95</v>
      </c>
    </row>
    <row r="255" spans="1:2">
      <c r="A255" t="s">
        <v>97</v>
      </c>
      <c r="B255" t="s">
        <v>97</v>
      </c>
    </row>
    <row r="256" spans="1:2">
      <c r="A256" t="s">
        <v>99</v>
      </c>
      <c r="B256" t="s">
        <v>99</v>
      </c>
    </row>
    <row r="257" spans="1:2">
      <c r="A257" t="s">
        <v>101</v>
      </c>
      <c r="B257" t="s">
        <v>101</v>
      </c>
    </row>
    <row r="258" spans="1:2">
      <c r="A258" t="s">
        <v>103</v>
      </c>
      <c r="B258" t="s">
        <v>103</v>
      </c>
    </row>
    <row r="259" spans="1:2">
      <c r="A259" t="s">
        <v>105</v>
      </c>
      <c r="B259" t="s">
        <v>105</v>
      </c>
    </row>
    <row r="260" spans="1:2">
      <c r="A260" t="s">
        <v>107</v>
      </c>
      <c r="B260" t="s">
        <v>107</v>
      </c>
    </row>
    <row r="261" spans="1:2">
      <c r="A261" t="s">
        <v>109</v>
      </c>
      <c r="B261" t="s">
        <v>109</v>
      </c>
    </row>
    <row r="262" spans="1:2">
      <c r="A262" t="s">
        <v>111</v>
      </c>
      <c r="B262" t="s">
        <v>111</v>
      </c>
    </row>
    <row r="263" spans="1:2">
      <c r="A263" t="s">
        <v>113</v>
      </c>
      <c r="B263" t="s">
        <v>113</v>
      </c>
    </row>
    <row r="264" spans="1:2">
      <c r="A264" t="s">
        <v>115</v>
      </c>
      <c r="B264" t="s">
        <v>115</v>
      </c>
    </row>
    <row r="265" spans="1:2">
      <c r="A265" t="s">
        <v>117</v>
      </c>
      <c r="B265" t="s">
        <v>117</v>
      </c>
    </row>
    <row r="266" spans="1:2">
      <c r="A266" t="s">
        <v>119</v>
      </c>
      <c r="B266" t="s">
        <v>119</v>
      </c>
    </row>
    <row r="267" spans="1:2">
      <c r="A267" t="s">
        <v>121</v>
      </c>
      <c r="B267" t="s">
        <v>121</v>
      </c>
    </row>
    <row r="268" spans="1:2">
      <c r="A268" t="s">
        <v>123</v>
      </c>
      <c r="B268" t="s">
        <v>123</v>
      </c>
    </row>
    <row r="269" spans="1:2">
      <c r="A269" t="s">
        <v>125</v>
      </c>
      <c r="B269" t="s">
        <v>125</v>
      </c>
    </row>
    <row r="270" spans="1:2">
      <c r="A270" t="s">
        <v>127</v>
      </c>
      <c r="B270" t="s">
        <v>127</v>
      </c>
    </row>
    <row r="271" spans="1:2">
      <c r="A271" t="s">
        <v>129</v>
      </c>
      <c r="B271" t="s">
        <v>129</v>
      </c>
    </row>
    <row r="272" spans="1:2">
      <c r="A272" t="s">
        <v>131</v>
      </c>
      <c r="B272" t="s">
        <v>131</v>
      </c>
    </row>
    <row r="273" spans="1:2">
      <c r="A273" t="s">
        <v>133</v>
      </c>
      <c r="B273" t="s">
        <v>133</v>
      </c>
    </row>
    <row r="274" spans="1:2">
      <c r="A274" t="s">
        <v>135</v>
      </c>
      <c r="B274" t="s">
        <v>135</v>
      </c>
    </row>
    <row r="275" spans="1:2">
      <c r="A275" t="s">
        <v>137</v>
      </c>
      <c r="B275" t="s">
        <v>137</v>
      </c>
    </row>
    <row r="276" spans="1:2">
      <c r="A276" t="s">
        <v>139</v>
      </c>
      <c r="B276" t="s">
        <v>139</v>
      </c>
    </row>
    <row r="277" spans="1:2">
      <c r="A277" t="s">
        <v>141</v>
      </c>
      <c r="B277" t="s">
        <v>141</v>
      </c>
    </row>
    <row r="278" spans="1:2">
      <c r="A278" t="s">
        <v>143</v>
      </c>
      <c r="B278" t="s">
        <v>143</v>
      </c>
    </row>
    <row r="279" spans="1:2">
      <c r="A279" t="s">
        <v>145</v>
      </c>
      <c r="B279" t="s">
        <v>145</v>
      </c>
    </row>
    <row r="280" spans="1:2">
      <c r="A280" t="s">
        <v>147</v>
      </c>
      <c r="B280" t="s">
        <v>147</v>
      </c>
    </row>
    <row r="281" spans="1:2">
      <c r="A281" t="s">
        <v>149</v>
      </c>
      <c r="B281" t="s">
        <v>149</v>
      </c>
    </row>
    <row r="282" spans="1:2">
      <c r="A282" t="s">
        <v>151</v>
      </c>
      <c r="B282" t="s">
        <v>151</v>
      </c>
    </row>
    <row r="283" spans="1:2">
      <c r="A283" t="s">
        <v>153</v>
      </c>
      <c r="B283" t="s">
        <v>153</v>
      </c>
    </row>
    <row r="284" spans="1:2">
      <c r="A284" t="s">
        <v>155</v>
      </c>
      <c r="B284" t="s">
        <v>155</v>
      </c>
    </row>
    <row r="285" spans="1:2">
      <c r="A285" t="s">
        <v>157</v>
      </c>
      <c r="B285" t="s">
        <v>157</v>
      </c>
    </row>
    <row r="286" spans="1:2">
      <c r="A286" t="s">
        <v>159</v>
      </c>
      <c r="B286" t="s">
        <v>159</v>
      </c>
    </row>
    <row r="287" spans="1:2">
      <c r="A287" t="s">
        <v>161</v>
      </c>
      <c r="B287" t="s">
        <v>161</v>
      </c>
    </row>
    <row r="288" spans="1:2">
      <c r="A288" t="s">
        <v>163</v>
      </c>
      <c r="B288" t="s">
        <v>163</v>
      </c>
    </row>
    <row r="289" spans="1:2">
      <c r="A289" t="s">
        <v>165</v>
      </c>
      <c r="B289" t="s">
        <v>165</v>
      </c>
    </row>
    <row r="290" spans="1:2">
      <c r="A290" t="s">
        <v>167</v>
      </c>
      <c r="B290" t="s">
        <v>167</v>
      </c>
    </row>
    <row r="291" spans="1:2">
      <c r="A291" t="s">
        <v>169</v>
      </c>
      <c r="B291" t="s">
        <v>169</v>
      </c>
    </row>
    <row r="292" spans="1:2">
      <c r="A292" t="s">
        <v>171</v>
      </c>
      <c r="B292" t="s">
        <v>171</v>
      </c>
    </row>
    <row r="293" spans="1:2">
      <c r="A293" t="s">
        <v>173</v>
      </c>
      <c r="B293" t="s">
        <v>173</v>
      </c>
    </row>
    <row r="294" spans="1:2">
      <c r="A294" t="s">
        <v>175</v>
      </c>
      <c r="B294" t="s">
        <v>175</v>
      </c>
    </row>
    <row r="295" spans="1:2">
      <c r="A295" t="s">
        <v>177</v>
      </c>
      <c r="B295" t="s">
        <v>177</v>
      </c>
    </row>
    <row r="296" spans="1:2">
      <c r="A296" t="s">
        <v>179</v>
      </c>
      <c r="B296" t="s">
        <v>179</v>
      </c>
    </row>
    <row r="297" spans="1:2">
      <c r="A297" t="s">
        <v>181</v>
      </c>
      <c r="B297" t="s">
        <v>181</v>
      </c>
    </row>
    <row r="298" spans="1:2">
      <c r="A298" t="s">
        <v>183</v>
      </c>
      <c r="B298" t="s">
        <v>183</v>
      </c>
    </row>
    <row r="299" spans="1:2">
      <c r="A299" t="s">
        <v>185</v>
      </c>
      <c r="B299" t="s">
        <v>185</v>
      </c>
    </row>
    <row r="300" spans="1:2">
      <c r="A300" t="s">
        <v>187</v>
      </c>
      <c r="B300" t="s">
        <v>187</v>
      </c>
    </row>
    <row r="301" spans="1:2">
      <c r="A301" t="s">
        <v>189</v>
      </c>
      <c r="B301" t="s">
        <v>189</v>
      </c>
    </row>
    <row r="302" spans="1:2">
      <c r="A302" t="s">
        <v>191</v>
      </c>
      <c r="B302" t="s">
        <v>191</v>
      </c>
    </row>
    <row r="303" spans="1:2">
      <c r="A303" t="s">
        <v>193</v>
      </c>
      <c r="B303" t="s">
        <v>193</v>
      </c>
    </row>
    <row r="304" spans="1:2">
      <c r="A304" t="s">
        <v>195</v>
      </c>
      <c r="B304" t="s">
        <v>195</v>
      </c>
    </row>
    <row r="305" spans="1:2">
      <c r="A305" t="s">
        <v>197</v>
      </c>
      <c r="B305" t="s">
        <v>197</v>
      </c>
    </row>
    <row r="306" spans="1:2">
      <c r="A306" t="s">
        <v>199</v>
      </c>
      <c r="B306" t="s">
        <v>199</v>
      </c>
    </row>
    <row r="307" spans="1:2">
      <c r="A307" t="s">
        <v>201</v>
      </c>
      <c r="B307" t="s">
        <v>201</v>
      </c>
    </row>
    <row r="308" spans="1:2">
      <c r="A308" t="s">
        <v>203</v>
      </c>
      <c r="B308" t="s">
        <v>203</v>
      </c>
    </row>
    <row r="309" spans="1:2">
      <c r="A309" t="s">
        <v>205</v>
      </c>
      <c r="B309" t="s">
        <v>205</v>
      </c>
    </row>
    <row r="310" spans="1:2">
      <c r="A310" t="s">
        <v>207</v>
      </c>
      <c r="B310" t="s">
        <v>207</v>
      </c>
    </row>
    <row r="311" spans="1:2">
      <c r="A311" t="s">
        <v>209</v>
      </c>
      <c r="B311" t="s">
        <v>209</v>
      </c>
    </row>
    <row r="312" spans="1:2">
      <c r="A312" t="s">
        <v>211</v>
      </c>
      <c r="B312" t="s">
        <v>211</v>
      </c>
    </row>
    <row r="313" spans="1:2">
      <c r="A313" t="s">
        <v>213</v>
      </c>
      <c r="B313" t="s">
        <v>213</v>
      </c>
    </row>
    <row r="314" spans="1:2">
      <c r="A314" t="s">
        <v>215</v>
      </c>
      <c r="B314" t="s">
        <v>215</v>
      </c>
    </row>
    <row r="315" spans="1:2">
      <c r="A315" t="s">
        <v>217</v>
      </c>
      <c r="B315" t="s">
        <v>217</v>
      </c>
    </row>
    <row r="316" spans="1:2">
      <c r="A316" t="s">
        <v>219</v>
      </c>
      <c r="B316" t="s">
        <v>219</v>
      </c>
    </row>
    <row r="317" spans="1:2">
      <c r="A317" t="s">
        <v>221</v>
      </c>
      <c r="B317" t="s">
        <v>221</v>
      </c>
    </row>
    <row r="318" spans="1:2">
      <c r="A318" t="s">
        <v>223</v>
      </c>
      <c r="B318" t="s">
        <v>223</v>
      </c>
    </row>
    <row r="319" spans="1:2">
      <c r="A319" t="s">
        <v>225</v>
      </c>
      <c r="B319" t="s">
        <v>225</v>
      </c>
    </row>
    <row r="320" spans="1:2">
      <c r="A320" t="s">
        <v>227</v>
      </c>
      <c r="B320" t="s">
        <v>227</v>
      </c>
    </row>
    <row r="321" spans="1:2">
      <c r="A321" t="s">
        <v>229</v>
      </c>
      <c r="B321" t="s">
        <v>229</v>
      </c>
    </row>
    <row r="322" spans="1:2">
      <c r="A322" t="s">
        <v>231</v>
      </c>
      <c r="B322" t="s">
        <v>231</v>
      </c>
    </row>
    <row r="323" spans="1:2">
      <c r="A323" t="s">
        <v>233</v>
      </c>
      <c r="B323" t="s">
        <v>233</v>
      </c>
    </row>
    <row r="324" spans="1:2">
      <c r="A324" t="s">
        <v>235</v>
      </c>
      <c r="B324" t="s">
        <v>235</v>
      </c>
    </row>
    <row r="325" spans="1:2">
      <c r="A325" t="s">
        <v>237</v>
      </c>
      <c r="B325" t="s">
        <v>237</v>
      </c>
    </row>
    <row r="326" spans="1:2">
      <c r="A326" t="s">
        <v>239</v>
      </c>
      <c r="B326" t="s">
        <v>239</v>
      </c>
    </row>
    <row r="327" spans="1:2">
      <c r="A327" t="s">
        <v>241</v>
      </c>
      <c r="B327" t="s">
        <v>241</v>
      </c>
    </row>
    <row r="328" spans="1:2">
      <c r="A328" t="s">
        <v>243</v>
      </c>
      <c r="B328" t="s">
        <v>243</v>
      </c>
    </row>
    <row r="329" spans="1:2">
      <c r="A329" t="s">
        <v>245</v>
      </c>
      <c r="B329" t="s">
        <v>245</v>
      </c>
    </row>
    <row r="330" spans="1:2">
      <c r="A330" t="s">
        <v>247</v>
      </c>
      <c r="B330" t="s">
        <v>247</v>
      </c>
    </row>
    <row r="331" spans="1:2">
      <c r="A331" t="s">
        <v>249</v>
      </c>
      <c r="B331" t="s">
        <v>249</v>
      </c>
    </row>
    <row r="332" spans="1:2">
      <c r="A332" t="s">
        <v>251</v>
      </c>
      <c r="B332" t="s">
        <v>251</v>
      </c>
    </row>
    <row r="333" spans="1:2">
      <c r="A333" t="s">
        <v>253</v>
      </c>
      <c r="B333" t="s">
        <v>253</v>
      </c>
    </row>
    <row r="334" spans="1:2">
      <c r="A334" t="s">
        <v>255</v>
      </c>
      <c r="B334" t="s">
        <v>255</v>
      </c>
    </row>
    <row r="335" spans="1:2">
      <c r="A335" t="s">
        <v>257</v>
      </c>
      <c r="B335" t="s">
        <v>257</v>
      </c>
    </row>
    <row r="336" spans="1:2">
      <c r="A336" t="s">
        <v>259</v>
      </c>
      <c r="B336" t="s">
        <v>259</v>
      </c>
    </row>
    <row r="337" spans="1:2">
      <c r="A337" t="s">
        <v>261</v>
      </c>
      <c r="B337" t="s">
        <v>261</v>
      </c>
    </row>
    <row r="338" spans="1:2">
      <c r="A338" t="s">
        <v>263</v>
      </c>
      <c r="B338" t="s">
        <v>263</v>
      </c>
    </row>
    <row r="339" spans="1:2">
      <c r="A339" t="s">
        <v>265</v>
      </c>
      <c r="B339" t="s">
        <v>265</v>
      </c>
    </row>
    <row r="340" spans="1:2">
      <c r="A340" t="s">
        <v>267</v>
      </c>
      <c r="B340" t="s">
        <v>267</v>
      </c>
    </row>
    <row r="341" spans="1:2">
      <c r="A341" t="s">
        <v>269</v>
      </c>
      <c r="B341" t="s">
        <v>269</v>
      </c>
    </row>
    <row r="342" spans="1:2">
      <c r="A342" t="s">
        <v>271</v>
      </c>
      <c r="B342" t="s">
        <v>271</v>
      </c>
    </row>
    <row r="343" spans="1:2">
      <c r="A343" t="s">
        <v>273</v>
      </c>
      <c r="B343" t="s">
        <v>273</v>
      </c>
    </row>
    <row r="344" spans="1:2">
      <c r="A344" t="s">
        <v>275</v>
      </c>
      <c r="B344" t="s">
        <v>275</v>
      </c>
    </row>
    <row r="345" spans="1:2">
      <c r="A345" t="s">
        <v>277</v>
      </c>
      <c r="B345" t="s">
        <v>277</v>
      </c>
    </row>
    <row r="346" spans="1:2">
      <c r="A346" t="s">
        <v>279</v>
      </c>
      <c r="B346" t="s">
        <v>279</v>
      </c>
    </row>
    <row r="347" spans="1:2">
      <c r="A347" t="s">
        <v>281</v>
      </c>
      <c r="B347" t="s">
        <v>281</v>
      </c>
    </row>
    <row r="348" spans="1:2">
      <c r="A348" t="s">
        <v>283</v>
      </c>
      <c r="B348" t="s">
        <v>283</v>
      </c>
    </row>
    <row r="349" spans="1:2">
      <c r="A349" t="s">
        <v>285</v>
      </c>
      <c r="B349" t="s">
        <v>285</v>
      </c>
    </row>
    <row r="350" spans="1:2">
      <c r="A350" t="s">
        <v>287</v>
      </c>
      <c r="B350" t="s">
        <v>287</v>
      </c>
    </row>
    <row r="351" spans="1:2">
      <c r="A351" t="s">
        <v>289</v>
      </c>
      <c r="B351" t="s">
        <v>289</v>
      </c>
    </row>
    <row r="352" spans="1:2">
      <c r="A352" t="s">
        <v>291</v>
      </c>
      <c r="B352" t="s">
        <v>291</v>
      </c>
    </row>
    <row r="353" spans="1:2">
      <c r="A353" t="s">
        <v>293</v>
      </c>
      <c r="B353" t="s">
        <v>293</v>
      </c>
    </row>
    <row r="354" spans="1:2">
      <c r="A354" t="s">
        <v>295</v>
      </c>
      <c r="B354" t="s">
        <v>295</v>
      </c>
    </row>
    <row r="355" spans="1:2">
      <c r="A355" t="s">
        <v>297</v>
      </c>
      <c r="B355" t="s">
        <v>297</v>
      </c>
    </row>
    <row r="356" spans="1:2">
      <c r="A356" t="s">
        <v>299</v>
      </c>
      <c r="B356" t="s">
        <v>299</v>
      </c>
    </row>
    <row r="357" spans="1:2">
      <c r="A357" t="s">
        <v>301</v>
      </c>
      <c r="B357" t="s">
        <v>301</v>
      </c>
    </row>
    <row r="358" spans="1:2">
      <c r="A358" t="s">
        <v>303</v>
      </c>
      <c r="B358" t="s">
        <v>303</v>
      </c>
    </row>
    <row r="359" spans="1:2">
      <c r="A359" t="s">
        <v>305</v>
      </c>
      <c r="B359" t="s">
        <v>305</v>
      </c>
    </row>
    <row r="360" spans="1:2">
      <c r="A360" t="s">
        <v>307</v>
      </c>
      <c r="B360" t="s">
        <v>307</v>
      </c>
    </row>
    <row r="361" spans="1:2">
      <c r="A361" t="s">
        <v>309</v>
      </c>
      <c r="B361" t="s">
        <v>309</v>
      </c>
    </row>
    <row r="362" spans="1:2">
      <c r="A362" t="s">
        <v>311</v>
      </c>
      <c r="B362" t="s">
        <v>311</v>
      </c>
    </row>
    <row r="363" spans="1:2">
      <c r="A363" t="s">
        <v>313</v>
      </c>
      <c r="B363" t="s">
        <v>313</v>
      </c>
    </row>
    <row r="364" spans="1:2">
      <c r="A364" t="s">
        <v>315</v>
      </c>
      <c r="B364" t="s">
        <v>315</v>
      </c>
    </row>
    <row r="365" spans="1:2">
      <c r="A365" t="s">
        <v>317</v>
      </c>
      <c r="B365" t="s">
        <v>317</v>
      </c>
    </row>
    <row r="366" spans="1:2">
      <c r="A366" t="s">
        <v>319</v>
      </c>
      <c r="B366" t="s">
        <v>319</v>
      </c>
    </row>
    <row r="367" spans="1:2">
      <c r="A367" t="s">
        <v>321</v>
      </c>
      <c r="B367" t="s">
        <v>321</v>
      </c>
    </row>
    <row r="368" spans="1:2">
      <c r="A368" t="s">
        <v>323</v>
      </c>
      <c r="B368" t="s">
        <v>323</v>
      </c>
    </row>
    <row r="369" spans="1:2">
      <c r="A369" t="s">
        <v>325</v>
      </c>
      <c r="B369" t="s">
        <v>325</v>
      </c>
    </row>
    <row r="370" spans="1:2">
      <c r="A370" t="s">
        <v>327</v>
      </c>
      <c r="B370" t="s">
        <v>327</v>
      </c>
    </row>
    <row r="371" spans="1:2">
      <c r="A371" t="s">
        <v>329</v>
      </c>
      <c r="B371" t="s">
        <v>329</v>
      </c>
    </row>
    <row r="372" spans="1:2">
      <c r="A372" t="s">
        <v>331</v>
      </c>
      <c r="B372" t="s">
        <v>331</v>
      </c>
    </row>
    <row r="373" spans="1:2">
      <c r="A373" t="s">
        <v>333</v>
      </c>
      <c r="B373" t="s">
        <v>333</v>
      </c>
    </row>
    <row r="374" spans="1:2">
      <c r="A374" t="s">
        <v>335</v>
      </c>
      <c r="B374" t="s">
        <v>335</v>
      </c>
    </row>
    <row r="375" spans="1:2">
      <c r="A375" t="s">
        <v>337</v>
      </c>
      <c r="B375" t="s">
        <v>337</v>
      </c>
    </row>
    <row r="376" spans="1:2">
      <c r="A376" t="s">
        <v>339</v>
      </c>
      <c r="B376" t="s">
        <v>339</v>
      </c>
    </row>
    <row r="377" spans="1:2">
      <c r="A377" t="s">
        <v>341</v>
      </c>
      <c r="B377" t="s">
        <v>341</v>
      </c>
    </row>
    <row r="378" spans="1:2">
      <c r="A378" t="s">
        <v>343</v>
      </c>
      <c r="B378" t="s">
        <v>343</v>
      </c>
    </row>
    <row r="379" spans="1:2">
      <c r="A379" t="s">
        <v>345</v>
      </c>
      <c r="B379" t="s">
        <v>345</v>
      </c>
    </row>
    <row r="380" spans="1:2">
      <c r="A380" t="s">
        <v>347</v>
      </c>
      <c r="B380" t="s">
        <v>347</v>
      </c>
    </row>
    <row r="381" spans="1:2">
      <c r="A381" t="s">
        <v>349</v>
      </c>
      <c r="B381" t="s">
        <v>349</v>
      </c>
    </row>
    <row r="382" spans="1:2">
      <c r="A382" t="s">
        <v>351</v>
      </c>
      <c r="B382" t="s">
        <v>351</v>
      </c>
    </row>
    <row r="383" spans="1:2">
      <c r="A383" t="s">
        <v>353</v>
      </c>
      <c r="B383" t="s">
        <v>353</v>
      </c>
    </row>
    <row r="384" spans="1:2">
      <c r="A384" t="s">
        <v>355</v>
      </c>
      <c r="B384" t="s">
        <v>355</v>
      </c>
    </row>
    <row r="385" spans="1:2">
      <c r="A385" t="s">
        <v>357</v>
      </c>
      <c r="B385" t="s">
        <v>357</v>
      </c>
    </row>
    <row r="386" spans="1:2">
      <c r="A386" t="s">
        <v>359</v>
      </c>
      <c r="B386" t="s">
        <v>359</v>
      </c>
    </row>
    <row r="387" spans="1:2">
      <c r="A387" t="s">
        <v>361</v>
      </c>
      <c r="B387" t="s">
        <v>361</v>
      </c>
    </row>
    <row r="388" spans="1:2">
      <c r="A388" t="s">
        <v>363</v>
      </c>
      <c r="B388" t="s">
        <v>363</v>
      </c>
    </row>
    <row r="389" spans="1:2">
      <c r="A389" t="s">
        <v>365</v>
      </c>
      <c r="B389" t="s">
        <v>365</v>
      </c>
    </row>
    <row r="390" spans="1:2">
      <c r="A390" t="s">
        <v>367</v>
      </c>
      <c r="B390" t="s">
        <v>367</v>
      </c>
    </row>
    <row r="391" spans="1:2">
      <c r="A391" t="s">
        <v>369</v>
      </c>
      <c r="B391" t="s">
        <v>369</v>
      </c>
    </row>
    <row r="392" spans="1:2">
      <c r="A392" t="s">
        <v>371</v>
      </c>
      <c r="B392" t="s">
        <v>371</v>
      </c>
    </row>
    <row r="393" spans="1:2">
      <c r="A393" t="s">
        <v>373</v>
      </c>
      <c r="B393" t="s">
        <v>373</v>
      </c>
    </row>
    <row r="394" spans="1:2">
      <c r="A394" t="s">
        <v>375</v>
      </c>
      <c r="B394" t="s">
        <v>375</v>
      </c>
    </row>
    <row r="395" spans="1:2">
      <c r="A395" t="s">
        <v>377</v>
      </c>
      <c r="B395" t="s">
        <v>377</v>
      </c>
    </row>
    <row r="396" spans="1:2">
      <c r="A396" t="s">
        <v>379</v>
      </c>
      <c r="B396" t="s">
        <v>379</v>
      </c>
    </row>
    <row r="397" spans="1:2">
      <c r="A397" t="s">
        <v>381</v>
      </c>
      <c r="B397" t="s">
        <v>381</v>
      </c>
    </row>
    <row r="398" spans="1:2">
      <c r="A398" t="s">
        <v>383</v>
      </c>
      <c r="B398" t="s">
        <v>383</v>
      </c>
    </row>
    <row r="399" spans="1:2">
      <c r="A399" t="s">
        <v>385</v>
      </c>
      <c r="B399" t="s">
        <v>385</v>
      </c>
    </row>
    <row r="400" spans="1:2">
      <c r="A400" t="s">
        <v>387</v>
      </c>
      <c r="B400" t="s">
        <v>387</v>
      </c>
    </row>
    <row r="401" spans="1:2">
      <c r="A401" t="s">
        <v>389</v>
      </c>
      <c r="B401" t="s">
        <v>389</v>
      </c>
    </row>
    <row r="402" spans="1:2">
      <c r="A402" t="s">
        <v>391</v>
      </c>
      <c r="B402" t="s">
        <v>391</v>
      </c>
    </row>
    <row r="403" spans="1:2">
      <c r="A403" t="s">
        <v>393</v>
      </c>
      <c r="B403" t="s">
        <v>393</v>
      </c>
    </row>
    <row r="404" spans="1:2">
      <c r="A404" t="s">
        <v>395</v>
      </c>
      <c r="B404" t="s">
        <v>395</v>
      </c>
    </row>
    <row r="405" spans="1:2">
      <c r="A405" t="s">
        <v>397</v>
      </c>
      <c r="B405" t="s">
        <v>397</v>
      </c>
    </row>
    <row r="406" spans="1:2">
      <c r="A406" t="s">
        <v>399</v>
      </c>
      <c r="B406" t="s">
        <v>399</v>
      </c>
    </row>
    <row r="407" spans="1:2">
      <c r="A407" t="s">
        <v>401</v>
      </c>
      <c r="B407" t="s">
        <v>401</v>
      </c>
    </row>
    <row r="408" spans="1:2">
      <c r="A408" t="s">
        <v>403</v>
      </c>
      <c r="B408" t="s">
        <v>403</v>
      </c>
    </row>
    <row r="409" spans="1:2">
      <c r="A409" t="s">
        <v>405</v>
      </c>
      <c r="B409" t="s">
        <v>405</v>
      </c>
    </row>
    <row r="410" spans="1:2">
      <c r="A410" t="s">
        <v>407</v>
      </c>
      <c r="B410" t="s">
        <v>407</v>
      </c>
    </row>
    <row r="411" spans="1:2">
      <c r="A411" t="s">
        <v>409</v>
      </c>
      <c r="B411" t="s">
        <v>409</v>
      </c>
    </row>
    <row r="412" spans="1:2">
      <c r="A412" t="s">
        <v>411</v>
      </c>
      <c r="B412" t="s">
        <v>411</v>
      </c>
    </row>
    <row r="413" spans="1:2">
      <c r="A413" t="s">
        <v>413</v>
      </c>
      <c r="B413" t="s">
        <v>413</v>
      </c>
    </row>
    <row r="414" spans="1:2">
      <c r="A414" t="s">
        <v>415</v>
      </c>
      <c r="B414" t="s">
        <v>415</v>
      </c>
    </row>
    <row r="415" spans="1:2">
      <c r="A415" t="s">
        <v>417</v>
      </c>
      <c r="B415" t="s">
        <v>417</v>
      </c>
    </row>
    <row r="416" spans="1:2">
      <c r="A416" t="s">
        <v>419</v>
      </c>
      <c r="B416" t="s">
        <v>419</v>
      </c>
    </row>
    <row r="417" spans="1:2">
      <c r="A417" t="s">
        <v>421</v>
      </c>
      <c r="B417" t="s">
        <v>421</v>
      </c>
    </row>
    <row r="418" spans="1:2">
      <c r="A418" t="s">
        <v>423</v>
      </c>
      <c r="B418" t="s">
        <v>423</v>
      </c>
    </row>
    <row r="419" spans="1:2">
      <c r="A419" t="s">
        <v>425</v>
      </c>
      <c r="B419" t="s">
        <v>425</v>
      </c>
    </row>
    <row r="420" spans="1:2">
      <c r="A420" t="s">
        <v>427</v>
      </c>
      <c r="B420" t="s">
        <v>427</v>
      </c>
    </row>
    <row r="421" spans="1:2">
      <c r="A421" t="s">
        <v>429</v>
      </c>
      <c r="B421" t="s">
        <v>429</v>
      </c>
    </row>
    <row r="422" spans="1:2">
      <c r="A422" t="s">
        <v>431</v>
      </c>
      <c r="B422" t="s">
        <v>431</v>
      </c>
    </row>
    <row r="423" spans="1:2">
      <c r="A423" t="s">
        <v>433</v>
      </c>
      <c r="B423" t="s">
        <v>433</v>
      </c>
    </row>
    <row r="424" spans="1:2">
      <c r="A424" t="s">
        <v>435</v>
      </c>
      <c r="B424" t="s">
        <v>435</v>
      </c>
    </row>
    <row r="425" spans="1:2">
      <c r="A425" t="s">
        <v>437</v>
      </c>
      <c r="B425" t="s">
        <v>437</v>
      </c>
    </row>
    <row r="426" spans="1:2">
      <c r="A426" t="s">
        <v>439</v>
      </c>
      <c r="B426" t="s">
        <v>439</v>
      </c>
    </row>
    <row r="427" spans="1:2">
      <c r="A427" t="s">
        <v>441</v>
      </c>
      <c r="B427" t="s">
        <v>441</v>
      </c>
    </row>
    <row r="428" spans="1:2">
      <c r="A428" t="s">
        <v>443</v>
      </c>
      <c r="B428" t="s">
        <v>443</v>
      </c>
    </row>
    <row r="429" spans="1:2">
      <c r="A429" t="s">
        <v>445</v>
      </c>
      <c r="B429" t="s">
        <v>445</v>
      </c>
    </row>
    <row r="430" spans="1:2">
      <c r="A430" t="s">
        <v>447</v>
      </c>
      <c r="B430" t="s">
        <v>447</v>
      </c>
    </row>
    <row r="431" spans="1:2">
      <c r="A431" t="s">
        <v>449</v>
      </c>
      <c r="B431" t="s">
        <v>449</v>
      </c>
    </row>
    <row r="432" spans="1:2">
      <c r="A432" t="s">
        <v>451</v>
      </c>
      <c r="B432" t="s">
        <v>451</v>
      </c>
    </row>
    <row r="433" spans="1:2">
      <c r="A433" t="s">
        <v>453</v>
      </c>
      <c r="B433" t="s">
        <v>453</v>
      </c>
    </row>
    <row r="434" spans="1:2">
      <c r="A434" t="s">
        <v>455</v>
      </c>
      <c r="B434" t="s">
        <v>455</v>
      </c>
    </row>
    <row r="435" spans="1:2">
      <c r="A435" t="s">
        <v>457</v>
      </c>
      <c r="B435" t="s">
        <v>457</v>
      </c>
    </row>
    <row r="436" spans="1:2">
      <c r="A436" t="s">
        <v>459</v>
      </c>
      <c r="B436" t="s">
        <v>459</v>
      </c>
    </row>
    <row r="437" spans="1:2">
      <c r="A437" t="s">
        <v>461</v>
      </c>
      <c r="B437" t="s">
        <v>461</v>
      </c>
    </row>
    <row r="438" spans="1:2">
      <c r="A438" t="s">
        <v>463</v>
      </c>
      <c r="B438" t="s">
        <v>463</v>
      </c>
    </row>
    <row r="439" spans="1:2">
      <c r="A439" t="s">
        <v>465</v>
      </c>
      <c r="B439" t="s">
        <v>465</v>
      </c>
    </row>
    <row r="440" spans="1:2">
      <c r="A440" t="s">
        <v>467</v>
      </c>
      <c r="B440" t="s">
        <v>467</v>
      </c>
    </row>
    <row r="441" spans="1:2">
      <c r="A441" t="s">
        <v>469</v>
      </c>
      <c r="B441" t="s">
        <v>469</v>
      </c>
    </row>
    <row r="442" spans="1:2">
      <c r="A442" t="s">
        <v>471</v>
      </c>
      <c r="B442" t="s">
        <v>471</v>
      </c>
    </row>
    <row r="443" spans="1:2">
      <c r="A443" t="s">
        <v>473</v>
      </c>
      <c r="B443" t="s">
        <v>473</v>
      </c>
    </row>
    <row r="444" spans="1:2">
      <c r="A444" t="s">
        <v>475</v>
      </c>
      <c r="B444" t="s">
        <v>475</v>
      </c>
    </row>
    <row r="445" spans="1:2">
      <c r="A445" t="s">
        <v>477</v>
      </c>
      <c r="B445" t="s">
        <v>477</v>
      </c>
    </row>
    <row r="446" spans="1:2">
      <c r="A446" t="s">
        <v>479</v>
      </c>
      <c r="B446" t="s">
        <v>479</v>
      </c>
    </row>
    <row r="447" spans="1:2">
      <c r="A447" t="s">
        <v>481</v>
      </c>
      <c r="B447" t="s">
        <v>481</v>
      </c>
    </row>
    <row r="448" spans="1:2">
      <c r="A448" t="s">
        <v>483</v>
      </c>
      <c r="B448" t="s">
        <v>483</v>
      </c>
    </row>
    <row r="449" spans="1:2">
      <c r="A449" t="s">
        <v>485</v>
      </c>
      <c r="B449" t="s">
        <v>485</v>
      </c>
    </row>
    <row r="450" spans="1:2">
      <c r="A450" t="s">
        <v>487</v>
      </c>
      <c r="B450" t="s">
        <v>487</v>
      </c>
    </row>
    <row r="451" spans="1:2">
      <c r="A451" t="s">
        <v>489</v>
      </c>
      <c r="B451" t="s">
        <v>489</v>
      </c>
    </row>
    <row r="452" spans="1:2">
      <c r="A452" t="s">
        <v>491</v>
      </c>
      <c r="B452" t="s">
        <v>491</v>
      </c>
    </row>
    <row r="453" spans="1:2">
      <c r="A453" t="s">
        <v>493</v>
      </c>
      <c r="B453" t="s">
        <v>493</v>
      </c>
    </row>
    <row r="454" spans="1:2">
      <c r="A454" t="s">
        <v>495</v>
      </c>
      <c r="B454" t="s">
        <v>495</v>
      </c>
    </row>
    <row r="455" spans="1:2">
      <c r="A455" t="s">
        <v>497</v>
      </c>
      <c r="B455" t="s">
        <v>497</v>
      </c>
    </row>
    <row r="456" spans="1:2">
      <c r="A456" t="s">
        <v>499</v>
      </c>
      <c r="B456" t="s">
        <v>499</v>
      </c>
    </row>
    <row r="457" spans="1:2">
      <c r="A457" t="s">
        <v>501</v>
      </c>
      <c r="B457" t="s">
        <v>501</v>
      </c>
    </row>
    <row r="458" spans="1:2">
      <c r="A458" t="s">
        <v>503</v>
      </c>
      <c r="B458" t="s">
        <v>503</v>
      </c>
    </row>
    <row r="459" spans="1:2">
      <c r="A459" t="s">
        <v>505</v>
      </c>
      <c r="B459" t="s">
        <v>505</v>
      </c>
    </row>
    <row r="460" spans="1:2">
      <c r="A460" t="s">
        <v>507</v>
      </c>
      <c r="B460" t="s">
        <v>507</v>
      </c>
    </row>
    <row r="461" spans="1:2">
      <c r="A461" t="s">
        <v>509</v>
      </c>
      <c r="B461" t="s">
        <v>509</v>
      </c>
    </row>
    <row r="462" spans="1:2">
      <c r="A462" t="s">
        <v>511</v>
      </c>
      <c r="B462" t="s">
        <v>511</v>
      </c>
    </row>
    <row r="463" spans="1:2">
      <c r="A463" t="s">
        <v>513</v>
      </c>
      <c r="B463" t="s">
        <v>513</v>
      </c>
    </row>
    <row r="464" spans="1:2">
      <c r="A464" t="s">
        <v>515</v>
      </c>
      <c r="B464" t="s">
        <v>515</v>
      </c>
    </row>
    <row r="465" spans="1:2">
      <c r="A465" t="s">
        <v>517</v>
      </c>
      <c r="B465" t="s">
        <v>517</v>
      </c>
    </row>
    <row r="466" spans="1:2">
      <c r="A466" t="s">
        <v>519</v>
      </c>
      <c r="B466" t="s">
        <v>519</v>
      </c>
    </row>
    <row r="467" spans="1:2">
      <c r="A467" t="s">
        <v>521</v>
      </c>
      <c r="B467" t="s">
        <v>521</v>
      </c>
    </row>
    <row r="468" spans="1:2">
      <c r="A468" t="s">
        <v>523</v>
      </c>
      <c r="B468" t="s">
        <v>523</v>
      </c>
    </row>
    <row r="469" spans="1:2">
      <c r="A469" t="s">
        <v>525</v>
      </c>
      <c r="B469" t="s">
        <v>525</v>
      </c>
    </row>
    <row r="470" spans="1:2">
      <c r="A470" t="s">
        <v>527</v>
      </c>
      <c r="B470" t="s">
        <v>527</v>
      </c>
    </row>
    <row r="471" spans="1:2">
      <c r="A471" t="s">
        <v>529</v>
      </c>
      <c r="B471" t="s">
        <v>529</v>
      </c>
    </row>
    <row r="472" spans="1:2">
      <c r="A472" t="s">
        <v>531</v>
      </c>
      <c r="B472" t="s">
        <v>531</v>
      </c>
    </row>
    <row r="473" spans="1:2">
      <c r="A473" t="s">
        <v>533</v>
      </c>
      <c r="B473" t="s">
        <v>533</v>
      </c>
    </row>
    <row r="474" spans="1:2">
      <c r="A474" t="s">
        <v>535</v>
      </c>
      <c r="B474" t="s">
        <v>535</v>
      </c>
    </row>
    <row r="475" spans="1:2">
      <c r="A475" t="s">
        <v>537</v>
      </c>
      <c r="B475" t="s">
        <v>537</v>
      </c>
    </row>
    <row r="476" spans="1:2">
      <c r="A476" t="s">
        <v>539</v>
      </c>
      <c r="B476" t="s">
        <v>539</v>
      </c>
    </row>
    <row r="477" spans="1:2">
      <c r="A477" t="s">
        <v>541</v>
      </c>
      <c r="B477" t="s">
        <v>541</v>
      </c>
    </row>
    <row r="478" spans="1:2">
      <c r="A478" t="s">
        <v>543</v>
      </c>
      <c r="B478" t="s">
        <v>543</v>
      </c>
    </row>
    <row r="479" spans="1:2">
      <c r="A479" t="s">
        <v>545</v>
      </c>
      <c r="B479" t="s">
        <v>545</v>
      </c>
    </row>
    <row r="480" spans="1:2">
      <c r="A480" t="s">
        <v>547</v>
      </c>
      <c r="B480" t="s">
        <v>547</v>
      </c>
    </row>
    <row r="481" spans="1:2">
      <c r="A481" t="s">
        <v>549</v>
      </c>
      <c r="B481" t="s">
        <v>549</v>
      </c>
    </row>
    <row r="482" spans="1:2">
      <c r="A482" t="s">
        <v>551</v>
      </c>
      <c r="B482" t="s">
        <v>551</v>
      </c>
    </row>
    <row r="483" spans="1:2">
      <c r="A483" t="s">
        <v>553</v>
      </c>
      <c r="B483" t="s">
        <v>553</v>
      </c>
    </row>
    <row r="484" spans="1:2">
      <c r="A484" t="s">
        <v>555</v>
      </c>
      <c r="B484" t="s">
        <v>555</v>
      </c>
    </row>
    <row r="485" spans="1:2">
      <c r="A485" t="s">
        <v>21</v>
      </c>
      <c r="B485" t="s">
        <v>21</v>
      </c>
    </row>
    <row r="486" spans="1:2">
      <c r="A486" t="s">
        <v>558</v>
      </c>
      <c r="B486" t="s">
        <v>558</v>
      </c>
    </row>
    <row r="487" spans="1:2">
      <c r="A487" t="s">
        <v>560</v>
      </c>
      <c r="B487" t="s">
        <v>560</v>
      </c>
    </row>
    <row r="488" spans="1:2">
      <c r="A488" t="s">
        <v>562</v>
      </c>
      <c r="B488" t="s">
        <v>562</v>
      </c>
    </row>
    <row r="489" spans="1:2">
      <c r="A489" t="s">
        <v>564</v>
      </c>
      <c r="B489" t="s">
        <v>564</v>
      </c>
    </row>
    <row r="490" spans="1:2">
      <c r="A490" t="s">
        <v>566</v>
      </c>
      <c r="B490" t="s">
        <v>566</v>
      </c>
    </row>
    <row r="491" spans="1:2">
      <c r="A491" t="s">
        <v>568</v>
      </c>
      <c r="B491" t="s">
        <v>568</v>
      </c>
    </row>
    <row r="492" spans="1:2">
      <c r="A492" t="s">
        <v>570</v>
      </c>
      <c r="B492" t="s">
        <v>570</v>
      </c>
    </row>
    <row r="493" spans="1:2">
      <c r="A493" t="s">
        <v>572</v>
      </c>
      <c r="B493" t="s">
        <v>572</v>
      </c>
    </row>
    <row r="494" spans="1:2">
      <c r="A494" t="s">
        <v>574</v>
      </c>
      <c r="B494" t="s">
        <v>574</v>
      </c>
    </row>
    <row r="495" spans="1:2">
      <c r="A495" t="s">
        <v>576</v>
      </c>
      <c r="B495" t="s">
        <v>576</v>
      </c>
    </row>
    <row r="496" spans="1:2">
      <c r="A496" t="s">
        <v>578</v>
      </c>
      <c r="B496" t="s">
        <v>578</v>
      </c>
    </row>
    <row r="497" spans="1:2">
      <c r="A497" t="s">
        <v>580</v>
      </c>
      <c r="B497" t="s">
        <v>580</v>
      </c>
    </row>
    <row r="498" spans="1:2">
      <c r="A498" t="s">
        <v>582</v>
      </c>
      <c r="B498" t="s">
        <v>582</v>
      </c>
    </row>
    <row r="499" spans="1:2">
      <c r="A499" t="s">
        <v>584</v>
      </c>
      <c r="B499" t="s">
        <v>584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95DA-E56E-4C4F-BA19-01D631E27E48}">
  <sheetPr codeName="Sheet1">
    <tabColor theme="1" tint="0.499984740745262"/>
  </sheetPr>
  <dimension ref="A1:L41"/>
  <sheetViews>
    <sheetView showGridLines="0" zoomScale="85" zoomScaleNormal="85" workbookViewId="0">
      <selection activeCell="K16" sqref="K16"/>
    </sheetView>
  </sheetViews>
  <sheetFormatPr defaultColWidth="11.5703125" defaultRowHeight="14.25"/>
  <cols>
    <col min="1" max="1" width="27.140625" style="6" customWidth="1"/>
    <col min="2" max="2" width="22.42578125" style="6" customWidth="1"/>
    <col min="3" max="3" width="25.140625" style="6" bestFit="1" customWidth="1"/>
    <col min="4" max="8" width="14.85546875" style="6" customWidth="1"/>
    <col min="9" max="9" width="12.42578125" style="6" bestFit="1" customWidth="1"/>
    <col min="10" max="10" width="7.5703125" style="6" bestFit="1" customWidth="1"/>
    <col min="11" max="11" width="12.42578125" style="6" bestFit="1" customWidth="1"/>
    <col min="12" max="19" width="11.5703125" style="6" customWidth="1"/>
    <col min="20" max="16384" width="11.5703125" style="6"/>
  </cols>
  <sheetData>
    <row r="1" spans="1:12">
      <c r="A1" s="6" t="s">
        <v>65</v>
      </c>
    </row>
    <row r="2" spans="1:12" ht="14.45" customHeight="1">
      <c r="A2" s="6" t="s">
        <v>65</v>
      </c>
    </row>
    <row r="3" spans="1:12" ht="15" customHeight="1" thickBot="1">
      <c r="A3" s="6" t="s">
        <v>65</v>
      </c>
      <c r="B3" s="35" t="str">
        <f>PROPER(C14)</f>
        <v>Company</v>
      </c>
      <c r="C3" s="36"/>
      <c r="D3" s="36"/>
      <c r="E3" s="36"/>
      <c r="F3" s="36"/>
      <c r="G3" s="36"/>
      <c r="L3" s="6" t="s">
        <v>7</v>
      </c>
    </row>
    <row r="4" spans="1:12" ht="15" customHeight="1" thickBot="1">
      <c r="A4" s="6" t="s">
        <v>65</v>
      </c>
      <c r="B4" s="17" t="str">
        <f>IFERROR("FYE "&amp;TEXT(G20,"0")&amp;"/"&amp;G19&amp;" (£k)","n/a")</f>
        <v>FYE 31/03 (£k)</v>
      </c>
      <c r="C4" s="23" t="str">
        <f>+C18</f>
        <v>2016</v>
      </c>
      <c r="D4" s="23" t="str">
        <f>+D18</f>
        <v>2017</v>
      </c>
      <c r="E4" s="23" t="str">
        <f>+E18</f>
        <v>2018</v>
      </c>
      <c r="F4" s="23" t="str">
        <f>+F18</f>
        <v>2019</v>
      </c>
      <c r="G4" s="23" t="str">
        <f>+G18</f>
        <v>2020</v>
      </c>
    </row>
    <row r="5" spans="1:12" ht="15" customHeight="1" thickBot="1">
      <c r="A5" s="6" t="s">
        <v>65</v>
      </c>
      <c r="B5" s="18" t="s">
        <v>8</v>
      </c>
      <c r="C5" s="19">
        <f>IFERROR(C23/1000,"n/a")</f>
        <v>0</v>
      </c>
      <c r="D5" s="19">
        <f>IFERROR(D23/1000,"n/a")</f>
        <v>0</v>
      </c>
      <c r="E5" s="19">
        <f>IFERROR(E23/1000,"n/a")</f>
        <v>0</v>
      </c>
      <c r="F5" s="19">
        <f>IFERROR(F23/1000,"n/a")</f>
        <v>0</v>
      </c>
      <c r="G5" s="19">
        <f>IFERROR(G23/1000,"n/a")</f>
        <v>0</v>
      </c>
    </row>
    <row r="6" spans="1:12" ht="15" customHeight="1" thickBot="1">
      <c r="A6" s="6" t="s">
        <v>65</v>
      </c>
      <c r="B6" s="20" t="s">
        <v>9</v>
      </c>
      <c r="C6" s="21"/>
      <c r="D6" s="22" t="str">
        <f>IFERROR(D5/C5-1,"n/a")</f>
        <v>n/a</v>
      </c>
      <c r="E6" s="22" t="str">
        <f>IFERROR(E5/D5-1,"n/a")</f>
        <v>n/a</v>
      </c>
      <c r="F6" s="22" t="str">
        <f>IFERROR(F5/E5-1,"n/a")</f>
        <v>n/a</v>
      </c>
      <c r="G6" s="22" t="str">
        <f>IFERROR(G5/F5-1,"n/a")</f>
        <v>n/a</v>
      </c>
    </row>
    <row r="7" spans="1:12" ht="15" customHeight="1" thickBot="1">
      <c r="A7" s="6" t="s">
        <v>65</v>
      </c>
      <c r="B7" s="18" t="s">
        <v>4</v>
      </c>
      <c r="C7" s="19">
        <f>IFERROR(C25/1000,"n/a")</f>
        <v>0</v>
      </c>
      <c r="D7" s="19">
        <f>IFERROR(D25/1000,"n/a")</f>
        <v>0</v>
      </c>
      <c r="E7" s="19">
        <f>IFERROR(E25/1000,"n/a")</f>
        <v>0</v>
      </c>
      <c r="F7" s="19">
        <f>IFERROR(F25/1000,"n/a")</f>
        <v>0</v>
      </c>
      <c r="G7" s="19">
        <f>IFERROR(G25/1000,"n/a")</f>
        <v>0</v>
      </c>
    </row>
    <row r="8" spans="1:12" ht="15" customHeight="1" thickBot="1">
      <c r="A8" s="6" t="s">
        <v>65</v>
      </c>
      <c r="B8" s="20" t="s">
        <v>10</v>
      </c>
      <c r="C8" s="22" t="str">
        <f>IFERROR(C7/C5,"n/a")</f>
        <v>n/a</v>
      </c>
      <c r="D8" s="22" t="str">
        <f>IFERROR(D7/D5,"n/a")</f>
        <v>n/a</v>
      </c>
      <c r="E8" s="22" t="str">
        <f>IFERROR(E7/E5,"n/a")</f>
        <v>n/a</v>
      </c>
      <c r="F8" s="22" t="str">
        <f>IFERROR(F7/F5,"n/a")</f>
        <v>n/a</v>
      </c>
      <c r="G8" s="22" t="str">
        <f>IFERROR(G7/G5,"n/a")</f>
        <v>n/a</v>
      </c>
    </row>
    <row r="9" spans="1:12" ht="15" customHeight="1" thickBot="1">
      <c r="A9" s="6" t="s">
        <v>65</v>
      </c>
      <c r="B9" s="18" t="s">
        <v>11</v>
      </c>
      <c r="C9" s="19">
        <f>IFERROR(C28/1000,"n/a")</f>
        <v>0</v>
      </c>
      <c r="D9" s="19">
        <f>IFERROR(D28/1000,"n/a")</f>
        <v>0</v>
      </c>
      <c r="E9" s="19">
        <f>IFERROR(E28/1000,"n/a")</f>
        <v>0</v>
      </c>
      <c r="F9" s="19">
        <f>IFERROR(F28/1000,"n/a")</f>
        <v>0</v>
      </c>
      <c r="G9" s="19">
        <f>IFERROR(G28/1000,"n/a")</f>
        <v>0</v>
      </c>
    </row>
    <row r="10" spans="1:12" ht="15" customHeight="1" thickBot="1">
      <c r="A10" s="6" t="s">
        <v>65</v>
      </c>
      <c r="B10" s="20" t="s">
        <v>10</v>
      </c>
      <c r="C10" s="22" t="str">
        <f>IFERROR(C9/C5,"n/a")</f>
        <v>n/a</v>
      </c>
      <c r="D10" s="22" t="str">
        <f>IFERROR(D9/D5,"n/a")</f>
        <v>n/a</v>
      </c>
      <c r="E10" s="22" t="str">
        <f>IFERROR(E9/E5,"n/a")</f>
        <v>n/a</v>
      </c>
      <c r="F10" s="22" t="str">
        <f>IFERROR(F9/F5,"n/a")</f>
        <v>n/a</v>
      </c>
      <c r="G10" s="22" t="str">
        <f>IFERROR(G9/G5,"n/a")</f>
        <v>n/a</v>
      </c>
    </row>
    <row r="11" spans="1:12">
      <c r="A11" s="6" t="s">
        <v>82</v>
      </c>
    </row>
    <row r="12" spans="1:12">
      <c r="A12" s="6" t="s">
        <v>65</v>
      </c>
    </row>
    <row r="13" spans="1:12">
      <c r="A13" s="6" t="s">
        <v>65</v>
      </c>
    </row>
    <row r="14" spans="1:12" ht="29.45" customHeight="1">
      <c r="A14" s="6" t="s">
        <v>65</v>
      </c>
      <c r="C14" s="7" t="s">
        <v>68</v>
      </c>
      <c r="K14" s="6" t="s">
        <v>81</v>
      </c>
    </row>
    <row r="15" spans="1:12" ht="7.35" customHeight="1">
      <c r="A15" s="6" t="s">
        <v>65</v>
      </c>
      <c r="K15" s="6" t="s">
        <v>24</v>
      </c>
    </row>
    <row r="16" spans="1:12" ht="35.450000000000003" customHeight="1" thickBot="1">
      <c r="A16" s="6" t="s">
        <v>66</v>
      </c>
      <c r="B16" s="8" t="s">
        <v>0</v>
      </c>
      <c r="K16" s="6" t="s">
        <v>23</v>
      </c>
    </row>
    <row r="17" spans="1:11" ht="14.45" customHeight="1" thickBot="1">
      <c r="A17" s="6" t="s">
        <v>29</v>
      </c>
      <c r="B17" s="9"/>
      <c r="C17" s="9" t="s">
        <v>69</v>
      </c>
      <c r="D17" s="9" t="s">
        <v>70</v>
      </c>
      <c r="E17" s="9" t="s">
        <v>71</v>
      </c>
      <c r="F17" s="9" t="s">
        <v>72</v>
      </c>
      <c r="G17" s="9" t="s">
        <v>73</v>
      </c>
      <c r="I17" s="10"/>
      <c r="K17" s="6" t="s">
        <v>67</v>
      </c>
    </row>
    <row r="18" spans="1:11" ht="14.45" customHeight="1" thickBot="1">
      <c r="A18" s="6" t="s">
        <v>65</v>
      </c>
      <c r="B18" s="9" t="s">
        <v>74</v>
      </c>
      <c r="C18" s="9" t="str">
        <f>LEFT(C17,4)</f>
        <v>2016</v>
      </c>
      <c r="D18" s="9" t="str">
        <f>LEFT(D17,4)</f>
        <v>2017</v>
      </c>
      <c r="E18" s="9" t="str">
        <f>LEFT(E17,4)</f>
        <v>2018</v>
      </c>
      <c r="F18" s="9" t="str">
        <f>LEFT(F17,4)</f>
        <v>2019</v>
      </c>
      <c r="G18" s="9" t="str">
        <f>LEFT(G17,4)</f>
        <v>2020</v>
      </c>
      <c r="I18" s="10"/>
      <c r="K18" s="6" t="s">
        <v>77</v>
      </c>
    </row>
    <row r="19" spans="1:11" ht="14.45" customHeight="1" thickBot="1">
      <c r="A19" s="6" t="s">
        <v>65</v>
      </c>
      <c r="B19" s="9" t="s">
        <v>75</v>
      </c>
      <c r="C19" s="9" t="str">
        <f>MID(C17,6,2)</f>
        <v>03</v>
      </c>
      <c r="D19" s="9" t="str">
        <f>MID(D17,6,2)</f>
        <v>03</v>
      </c>
      <c r="E19" s="9" t="str">
        <f>MID(E17,6,2)</f>
        <v>03</v>
      </c>
      <c r="F19" s="9" t="str">
        <f>MID(F17,6,2)</f>
        <v>03</v>
      </c>
      <c r="G19" s="9" t="str">
        <f>MID(G17,6,2)</f>
        <v>03</v>
      </c>
      <c r="I19" s="10"/>
      <c r="K19" s="6" t="s">
        <v>78</v>
      </c>
    </row>
    <row r="20" spans="1:11" ht="14.45" customHeight="1" thickBot="1">
      <c r="A20" s="6" t="s">
        <v>65</v>
      </c>
      <c r="B20" s="9" t="s">
        <v>76</v>
      </c>
      <c r="C20" s="9" t="str">
        <f>MID(C17,9,2)</f>
        <v>31</v>
      </c>
      <c r="D20" s="9" t="str">
        <f>MID(D17,9,2)</f>
        <v>31</v>
      </c>
      <c r="E20" s="9" t="str">
        <f>MID(E17,9,2)</f>
        <v>31</v>
      </c>
      <c r="F20" s="9" t="str">
        <f>MID(F17,9,2)</f>
        <v>31</v>
      </c>
      <c r="G20" s="9" t="str">
        <f>MID(G17,9,2)</f>
        <v>31</v>
      </c>
      <c r="I20" s="10"/>
      <c r="K20" s="6" t="s">
        <v>79</v>
      </c>
    </row>
    <row r="21" spans="1:11" ht="14.45" customHeight="1" thickBot="1">
      <c r="A21" s="6" t="s">
        <v>30</v>
      </c>
      <c r="B21" s="11" t="s">
        <v>1</v>
      </c>
      <c r="C21" s="12" t="s">
        <v>2</v>
      </c>
      <c r="D21" s="12" t="s">
        <v>2</v>
      </c>
      <c r="E21" s="12" t="s">
        <v>2</v>
      </c>
      <c r="F21" s="12" t="s">
        <v>2</v>
      </c>
      <c r="G21" s="12" t="s">
        <v>2</v>
      </c>
      <c r="I21" s="10"/>
      <c r="K21" s="6" t="s">
        <v>80</v>
      </c>
    </row>
    <row r="22" spans="1:11" ht="14.45" customHeight="1" thickBot="1">
      <c r="A22" s="6" t="s">
        <v>31</v>
      </c>
      <c r="B22" s="11" t="s">
        <v>3</v>
      </c>
      <c r="C22" s="12" t="b">
        <v>1</v>
      </c>
      <c r="D22" s="12" t="b">
        <v>1</v>
      </c>
      <c r="E22" s="12" t="b">
        <v>1</v>
      </c>
      <c r="F22" s="12" t="b">
        <v>1</v>
      </c>
      <c r="G22" s="12" t="b">
        <v>1</v>
      </c>
    </row>
    <row r="23" spans="1:11" ht="15" customHeight="1" thickBot="1">
      <c r="A23" s="6" t="s">
        <v>32</v>
      </c>
      <c r="B23" s="13" t="s">
        <v>33</v>
      </c>
      <c r="C23" s="14"/>
      <c r="D23" s="14"/>
      <c r="E23" s="14"/>
      <c r="F23" s="14"/>
      <c r="G23" s="14"/>
    </row>
    <row r="24" spans="1:11" ht="14.45" customHeight="1" thickBot="1">
      <c r="A24" s="6" t="s">
        <v>34</v>
      </c>
      <c r="B24" s="15" t="s">
        <v>35</v>
      </c>
      <c r="C24" s="16"/>
      <c r="D24" s="16"/>
      <c r="E24" s="16"/>
      <c r="F24" s="16"/>
      <c r="G24" s="16"/>
    </row>
    <row r="25" spans="1:11" ht="14.45" customHeight="1" thickBot="1">
      <c r="A25" s="6" t="s">
        <v>36</v>
      </c>
      <c r="B25" s="13" t="s">
        <v>4</v>
      </c>
      <c r="C25" s="14"/>
      <c r="D25" s="14"/>
      <c r="E25" s="14"/>
      <c r="F25" s="14"/>
      <c r="G25" s="14"/>
    </row>
    <row r="26" spans="1:11" ht="14.45" customHeight="1" thickBot="1">
      <c r="A26" s="6" t="s">
        <v>37</v>
      </c>
      <c r="B26" s="15" t="s">
        <v>5</v>
      </c>
      <c r="C26" s="16"/>
      <c r="D26" s="16"/>
      <c r="E26" s="16"/>
      <c r="F26" s="16"/>
      <c r="G26" s="16"/>
    </row>
    <row r="27" spans="1:11" ht="14.45" customHeight="1" thickBot="1">
      <c r="A27" s="6" t="s">
        <v>38</v>
      </c>
      <c r="B27" s="15" t="s">
        <v>39</v>
      </c>
      <c r="C27" s="16"/>
      <c r="D27" s="16"/>
      <c r="E27" s="16"/>
      <c r="F27" s="16"/>
      <c r="G27" s="16"/>
    </row>
    <row r="28" spans="1:11" ht="15" customHeight="1" thickBot="1">
      <c r="A28" s="6" t="s">
        <v>65</v>
      </c>
      <c r="B28" s="13" t="s">
        <v>11</v>
      </c>
      <c r="C28" s="14">
        <f>+C35+SUM(C29:C34)</f>
        <v>0</v>
      </c>
      <c r="D28" s="14">
        <f t="shared" ref="D28:G28" si="0">+D35+SUM(D29:D34)</f>
        <v>0</v>
      </c>
      <c r="E28" s="14">
        <f t="shared" si="0"/>
        <v>0</v>
      </c>
      <c r="F28" s="14">
        <f t="shared" si="0"/>
        <v>0</v>
      </c>
      <c r="G28" s="14">
        <f t="shared" si="0"/>
        <v>0</v>
      </c>
    </row>
    <row r="29" spans="1:11" ht="14.45" customHeight="1" thickBot="1">
      <c r="A29" s="6" t="s">
        <v>40</v>
      </c>
      <c r="B29" s="15" t="s">
        <v>6</v>
      </c>
      <c r="C29" s="16"/>
      <c r="D29" s="16"/>
      <c r="E29" s="16"/>
      <c r="F29" s="16"/>
      <c r="G29" s="16"/>
    </row>
    <row r="30" spans="1:11" ht="14.45" customHeight="1" thickBot="1">
      <c r="A30" s="6" t="s">
        <v>41</v>
      </c>
      <c r="B30" s="15" t="s">
        <v>42</v>
      </c>
      <c r="C30" s="16"/>
      <c r="D30" s="16"/>
      <c r="E30" s="16"/>
      <c r="F30" s="16"/>
      <c r="G30" s="16"/>
    </row>
    <row r="31" spans="1:11" ht="14.45" customHeight="1" thickBot="1">
      <c r="A31" s="6" t="s">
        <v>43</v>
      </c>
      <c r="B31" s="15" t="s">
        <v>44</v>
      </c>
      <c r="C31" s="16"/>
      <c r="D31" s="16"/>
      <c r="E31" s="16"/>
      <c r="F31" s="16"/>
      <c r="G31" s="16"/>
    </row>
    <row r="32" spans="1:11" ht="14.45" customHeight="1" thickBot="1">
      <c r="A32" s="6" t="s">
        <v>45</v>
      </c>
      <c r="B32" s="15" t="s">
        <v>46</v>
      </c>
      <c r="C32" s="16"/>
      <c r="D32" s="16"/>
      <c r="E32" s="16"/>
      <c r="F32" s="16"/>
      <c r="G32" s="16"/>
    </row>
    <row r="33" spans="1:7" ht="14.45" customHeight="1" thickBot="1">
      <c r="A33" s="6" t="s">
        <v>47</v>
      </c>
      <c r="B33" s="15" t="s">
        <v>48</v>
      </c>
      <c r="C33" s="16"/>
      <c r="D33" s="16"/>
      <c r="E33" s="16"/>
      <c r="F33" s="16"/>
      <c r="G33" s="16"/>
    </row>
    <row r="34" spans="1:7" ht="14.45" customHeight="1" thickBot="1">
      <c r="A34" s="6" t="s">
        <v>49</v>
      </c>
      <c r="B34" s="15" t="s">
        <v>50</v>
      </c>
      <c r="C34" s="16"/>
      <c r="D34" s="16"/>
      <c r="E34" s="16"/>
      <c r="F34" s="16"/>
      <c r="G34" s="16"/>
    </row>
    <row r="35" spans="1:7" ht="15" customHeight="1" thickBot="1">
      <c r="A35" s="6" t="s">
        <v>51</v>
      </c>
      <c r="B35" s="13" t="s">
        <v>52</v>
      </c>
      <c r="C35" s="14"/>
      <c r="D35" s="14"/>
      <c r="E35" s="14"/>
      <c r="F35" s="14"/>
      <c r="G35" s="14"/>
    </row>
    <row r="36" spans="1:7" ht="14.45" customHeight="1" thickBot="1">
      <c r="A36" s="6" t="s">
        <v>53</v>
      </c>
      <c r="B36" s="15" t="s">
        <v>54</v>
      </c>
      <c r="C36" s="16"/>
      <c r="D36" s="16"/>
      <c r="E36" s="16"/>
      <c r="F36" s="16"/>
      <c r="G36" s="16"/>
    </row>
    <row r="37" spans="1:7" ht="14.45" customHeight="1" thickBot="1">
      <c r="A37" s="6" t="s">
        <v>55</v>
      </c>
      <c r="B37" s="15" t="s">
        <v>56</v>
      </c>
      <c r="C37" s="16"/>
      <c r="D37" s="16"/>
      <c r="E37" s="16"/>
      <c r="F37" s="16"/>
      <c r="G37" s="16"/>
    </row>
    <row r="38" spans="1:7" ht="14.45" customHeight="1" thickBot="1">
      <c r="A38" s="6" t="s">
        <v>57</v>
      </c>
      <c r="B38" s="15" t="s">
        <v>58</v>
      </c>
      <c r="C38" s="16"/>
      <c r="D38" s="16"/>
      <c r="E38" s="16"/>
      <c r="F38" s="16"/>
      <c r="G38" s="16"/>
    </row>
    <row r="39" spans="1:7" ht="14.45" customHeight="1" thickBot="1">
      <c r="A39" s="6" t="s">
        <v>59</v>
      </c>
      <c r="B39" s="15" t="s">
        <v>60</v>
      </c>
      <c r="C39" s="16"/>
      <c r="D39" s="16"/>
      <c r="E39" s="16"/>
      <c r="F39" s="16"/>
      <c r="G39" s="16"/>
    </row>
    <row r="40" spans="1:7" ht="14.45" customHeight="1" thickBot="1">
      <c r="A40" s="6" t="s">
        <v>61</v>
      </c>
      <c r="B40" s="15" t="s">
        <v>62</v>
      </c>
      <c r="C40" s="16"/>
      <c r="D40" s="16"/>
      <c r="E40" s="16"/>
      <c r="F40" s="16"/>
      <c r="G40" s="16"/>
    </row>
    <row r="41" spans="1:7" ht="14.45" customHeight="1" thickBot="1">
      <c r="A41" s="6" t="s">
        <v>63</v>
      </c>
      <c r="B41" s="15" t="s">
        <v>64</v>
      </c>
      <c r="C41" s="16"/>
      <c r="D41" s="16"/>
      <c r="E41" s="16"/>
      <c r="F41" s="16"/>
      <c r="G41" s="16"/>
    </row>
  </sheetData>
  <mergeCells count="1">
    <mergeCell ref="B3:G3"/>
  </mergeCells>
  <pageMargins left="0.7" right="0.7" top="0.75" bottom="0.75" header="0.3" footer="0.3"/>
  <pageSetup paperSize="9"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259813E3E0F3145868B56CD06D8E15F" ma:contentTypeVersion="11" ma:contentTypeDescription="Create a new document." ma:contentTypeScope="" ma:versionID="8347f23d8c054370070bc5102ae7426b">
  <xsd:schema xmlns:xsd="http://www.w3.org/2001/XMLSchema" xmlns:xs="http://www.w3.org/2001/XMLSchema" xmlns:p="http://schemas.microsoft.com/office/2006/metadata/properties" xmlns:ns2="4625c7d0-936d-4ae2-a7ce-ce46ded22b6b" xmlns:ns3="c79a4bf2-0db9-4905-a964-bfafb13ab9b9" targetNamespace="http://schemas.microsoft.com/office/2006/metadata/properties" ma:root="true" ma:fieldsID="0fcb8eb6f3a801e8e15b393a59cfac43" ns2:_="" ns3:_="">
    <xsd:import namespace="4625c7d0-936d-4ae2-a7ce-ce46ded22b6b"/>
    <xsd:import namespace="c79a4bf2-0db9-4905-a964-bfafb13ab9b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25c7d0-936d-4ae2-a7ce-ce46ded22b6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9a4bf2-0db9-4905-a964-bfafb13ab9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3D77D4-E18D-480B-A0C9-6A1F5232BC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25c7d0-936d-4ae2-a7ce-ce46ded22b6b"/>
    <ds:schemaRef ds:uri="c79a4bf2-0db9-4905-a964-bfafb13ab9b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D302096-C5A7-43F5-B136-6EB3FD1F141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DBF3560-34AE-46E0-8A15-F6E96DC89D6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CreditSafe</vt:lpstr>
      <vt:lpstr>Config</vt:lpstr>
      <vt:lpstr>Countries</vt:lpstr>
      <vt:lpstr>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Ferrin</dc:creator>
  <cp:lastModifiedBy>Diego Montoliu</cp:lastModifiedBy>
  <dcterms:created xsi:type="dcterms:W3CDTF">2021-11-29T17:18:51Z</dcterms:created>
  <dcterms:modified xsi:type="dcterms:W3CDTF">2022-01-28T20:26:52Z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0x0101008259813E3E0F3145868B56CD06D8E15F</vt:lpwstr>
  </property>
</Properties>
</file>